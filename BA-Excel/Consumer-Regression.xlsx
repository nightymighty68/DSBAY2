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OneDrive\Documents\DSBACODINGTEST\BA-Excel\"/>
    </mc:Choice>
  </mc:AlternateContent>
  <xr:revisionPtr revIDLastSave="0" documentId="13_ncr:1_{79112C85-9D4E-4E6E-89FA-B051C83B96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solver_adj" localSheetId="0" hidden="1">Sheet1!$A$2:$C$2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Sheet1!$J$2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3iG4vz3LOhFBqZJXo+O4wVh5JdGr4KpQjP0E0G6zMw="/>
    </ext>
  </extLst>
</workbook>
</file>

<file path=xl/calcChain.xml><?xml version="1.0" encoding="utf-8"?>
<calcChain xmlns="http://schemas.openxmlformats.org/spreadsheetml/2006/main">
  <c r="I17" i="1" l="1"/>
  <c r="I16" i="1"/>
  <c r="I14" i="1"/>
  <c r="I1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4" i="1"/>
  <c r="H7" i="1"/>
  <c r="J2" i="1"/>
  <c r="I6" i="1"/>
  <c r="I5" i="1"/>
  <c r="I4" i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4" i="1"/>
  <c r="E4" i="1" s="1"/>
  <c r="F12" i="1" l="1"/>
  <c r="F20" i="1"/>
  <c r="F28" i="1"/>
  <c r="F36" i="1"/>
  <c r="F44" i="1"/>
  <c r="F52" i="1"/>
  <c r="F6" i="1"/>
  <c r="F22" i="1"/>
  <c r="F30" i="1"/>
  <c r="F46" i="1"/>
  <c r="F4" i="1"/>
  <c r="F15" i="1"/>
  <c r="F31" i="1"/>
  <c r="F47" i="1"/>
  <c r="F10" i="1"/>
  <c r="F26" i="1"/>
  <c r="F34" i="1"/>
  <c r="F50" i="1"/>
  <c r="F43" i="1"/>
  <c r="F5" i="1"/>
  <c r="F13" i="1"/>
  <c r="F21" i="1"/>
  <c r="F29" i="1"/>
  <c r="F37" i="1"/>
  <c r="F45" i="1"/>
  <c r="F53" i="1"/>
  <c r="F14" i="1"/>
  <c r="F38" i="1"/>
  <c r="F7" i="1"/>
  <c r="F23" i="1"/>
  <c r="F39" i="1"/>
  <c r="F18" i="1"/>
  <c r="F42" i="1"/>
  <c r="F11" i="1"/>
  <c r="F27" i="1"/>
  <c r="F35" i="1"/>
  <c r="F51" i="1"/>
  <c r="F19" i="1"/>
  <c r="F8" i="1"/>
  <c r="F16" i="1"/>
  <c r="F24" i="1"/>
  <c r="F32" i="1"/>
  <c r="F40" i="1"/>
  <c r="F48" i="1"/>
  <c r="F9" i="1"/>
  <c r="F17" i="1"/>
  <c r="F25" i="1"/>
  <c r="F33" i="1"/>
  <c r="F41" i="1"/>
  <c r="F49" i="1"/>
  <c r="J9" i="1" l="1"/>
  <c r="J10" i="1" s="1"/>
</calcChain>
</file>

<file path=xl/sharedStrings.xml><?xml version="1.0" encoding="utf-8"?>
<sst xmlns="http://schemas.openxmlformats.org/spreadsheetml/2006/main" count="13" uniqueCount="12">
  <si>
    <t>Income(in 1000's)</t>
  </si>
  <si>
    <t>HouseholdSize</t>
  </si>
  <si>
    <t>AmountCharged(y)</t>
  </si>
  <si>
    <t>Beta1</t>
  </si>
  <si>
    <t>Beta2</t>
  </si>
  <si>
    <t>yhat</t>
  </si>
  <si>
    <t>(y-yhat)^2</t>
  </si>
  <si>
    <t>sum of square errors</t>
  </si>
  <si>
    <t>Beta0</t>
  </si>
  <si>
    <t>SSREGRESSION</t>
  </si>
  <si>
    <t>SST</t>
  </si>
  <si>
    <t>sum of squares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</si>
</sst>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0" fillId="0" borderId="0" xfId="0" applyNumberFormat="1"/>
    <xf numFmtId="0" fontId="2" fillId="2" borderId="1" xfId="0" applyFont="1" applyFill="1" applyBorder="1"/>
    <xf numFmtId="0" fontId="0" fillId="2" borderId="1" xfId="0" applyFill="1" applyBorder="1"/>
    <xf numFmtId="0" fontId="3" fillId="2" borderId="1" xfId="0" applyFont="1" applyFill="1" applyBorder="1" applyAlignment="1">
      <alignment horizontal="center"/>
    </xf>
    <xf numFmtId="3" fontId="0" fillId="2" borderId="1" xfId="0" applyNumberFormat="1" applyFill="1" applyBorder="1"/>
    <xf numFmtId="0" fontId="1" fillId="2" borderId="1" xfId="0" applyFont="1" applyFill="1" applyBorder="1"/>
    <xf numFmtId="0" fontId="3" fillId="2" borderId="2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A3" zoomScale="105" workbookViewId="0">
      <selection activeCell="B3" sqref="B3"/>
    </sheetView>
  </sheetViews>
  <sheetFormatPr defaultColWidth="14.42578125" defaultRowHeight="15" customHeight="1" x14ac:dyDescent="0.25"/>
  <cols>
    <col min="1" max="1" width="19.5703125" bestFit="1" customWidth="1"/>
    <col min="2" max="2" width="16" bestFit="1" customWidth="1"/>
    <col min="3" max="3" width="20.85546875" bestFit="1" customWidth="1"/>
    <col min="4" max="4" width="12" bestFit="1" customWidth="1"/>
    <col min="5" max="5" width="11.5703125" bestFit="1" customWidth="1"/>
    <col min="6" max="6" width="15.85546875" bestFit="1" customWidth="1"/>
    <col min="7" max="7" width="18.7109375" bestFit="1" customWidth="1"/>
    <col min="8" max="8" width="8.7109375" customWidth="1"/>
    <col min="9" max="9" width="26" customWidth="1"/>
    <col min="10" max="10" width="10.140625" bestFit="1" customWidth="1"/>
    <col min="11" max="26" width="8.7109375" customWidth="1"/>
  </cols>
  <sheetData>
    <row r="1" spans="1:10" ht="14.25" customHeight="1" x14ac:dyDescent="0.25">
      <c r="A1" s="4" t="s">
        <v>3</v>
      </c>
      <c r="B1" s="4" t="s">
        <v>4</v>
      </c>
      <c r="C1" s="8" t="s">
        <v>8</v>
      </c>
    </row>
    <row r="2" spans="1:10" ht="14.25" customHeight="1" x14ac:dyDescent="0.25">
      <c r="A2" s="5">
        <v>33.132977934121392</v>
      </c>
      <c r="B2" s="5">
        <v>356.29571605632447</v>
      </c>
      <c r="C2" s="5">
        <v>1304.9066804107376</v>
      </c>
      <c r="I2" s="4" t="s">
        <v>7</v>
      </c>
      <c r="J2" s="7">
        <f>SUM(E4:E53)</f>
        <v>7448393.147536885</v>
      </c>
    </row>
    <row r="3" spans="1:10" ht="14.25" customHeight="1" x14ac:dyDescent="0.25">
      <c r="A3" s="6" t="s">
        <v>0</v>
      </c>
      <c r="B3" s="6" t="s">
        <v>1</v>
      </c>
      <c r="C3" s="6" t="s">
        <v>2</v>
      </c>
      <c r="D3" s="6" t="s">
        <v>5</v>
      </c>
      <c r="E3" s="6" t="s">
        <v>6</v>
      </c>
      <c r="F3" s="9" t="s">
        <v>10</v>
      </c>
      <c r="G3" s="9" t="s">
        <v>9</v>
      </c>
    </row>
    <row r="4" spans="1:10" ht="14.25" customHeight="1" x14ac:dyDescent="0.25">
      <c r="A4" s="1">
        <v>54</v>
      </c>
      <c r="B4" s="1">
        <v>3</v>
      </c>
      <c r="C4" s="2">
        <v>4016</v>
      </c>
      <c r="D4">
        <f>$C$2+SUMPRODUCT($A$2:$B$2,A4:B4)</f>
        <v>4162.9746370222665</v>
      </c>
      <c r="E4" s="3">
        <f>(C4-D4)^2</f>
        <v>21601.543927826991</v>
      </c>
      <c r="F4" s="10">
        <f>(C4-$H$7)^2</f>
        <v>2697.7636000000057</v>
      </c>
      <c r="G4" s="3">
        <f>(D4-$H$7)^2</f>
        <v>39567.032821700057</v>
      </c>
      <c r="I4">
        <f>CORREL(B4:B53,C4:C53)</f>
        <v>0.75284316530535922</v>
      </c>
    </row>
    <row r="5" spans="1:10" ht="14.25" customHeight="1" x14ac:dyDescent="0.25">
      <c r="A5" s="1">
        <v>30</v>
      </c>
      <c r="B5" s="1">
        <v>2</v>
      </c>
      <c r="C5" s="2">
        <v>3159</v>
      </c>
      <c r="D5">
        <f t="shared" ref="D5:D53" si="0">$C$2+SUMPRODUCT($A$2:$B$2,A5:B5)</f>
        <v>3011.4874505470279</v>
      </c>
      <c r="E5" s="3">
        <f t="shared" ref="E5:E53" si="1">(C5-D5)^2</f>
        <v>21759.952246115525</v>
      </c>
      <c r="F5" s="10">
        <f t="shared" ref="F5:F53" si="2">(C5-$H$7)^2</f>
        <v>648121.60359999991</v>
      </c>
      <c r="G5" s="3">
        <f t="shared" ref="G5:G53" si="3">(D5-$H$7)^2</f>
        <v>907394.46197133476</v>
      </c>
      <c r="I5">
        <f>CORREL(C4:C53,A4:A53)</f>
        <v>0.63097418573647401</v>
      </c>
    </row>
    <row r="6" spans="1:10" ht="14.25" customHeight="1" x14ac:dyDescent="0.25">
      <c r="A6" s="1">
        <v>32</v>
      </c>
      <c r="B6" s="1">
        <v>4</v>
      </c>
      <c r="C6" s="2">
        <v>5100</v>
      </c>
      <c r="D6">
        <f t="shared" si="0"/>
        <v>3790.3448385279198</v>
      </c>
      <c r="E6" s="3">
        <f t="shared" si="1"/>
        <v>1715196.6419704603</v>
      </c>
      <c r="F6" s="10">
        <f t="shared" si="2"/>
        <v>1290359.6836000001</v>
      </c>
      <c r="G6" s="3">
        <f t="shared" si="3"/>
        <v>30176.957325270872</v>
      </c>
      <c r="I6">
        <f>CORREL(A4:A53,B4:B53)</f>
        <v>0.17253349735092791</v>
      </c>
    </row>
    <row r="7" spans="1:10" ht="14.25" customHeight="1" x14ac:dyDescent="0.25">
      <c r="A7" s="1">
        <v>50</v>
      </c>
      <c r="B7" s="1">
        <v>5</v>
      </c>
      <c r="C7" s="2">
        <v>4742</v>
      </c>
      <c r="D7">
        <f t="shared" si="0"/>
        <v>4743.0341573984297</v>
      </c>
      <c r="E7" s="3">
        <f t="shared" si="1"/>
        <v>1.0694815247268235</v>
      </c>
      <c r="F7" s="10">
        <f t="shared" si="2"/>
        <v>605190.64360000007</v>
      </c>
      <c r="G7" s="3">
        <f t="shared" si="3"/>
        <v>606800.73789459362</v>
      </c>
      <c r="H7" s="3">
        <f>AVERAGE(C4:C53)</f>
        <v>3964.06</v>
      </c>
    </row>
    <row r="8" spans="1:10" ht="14.25" customHeight="1" x14ac:dyDescent="0.25">
      <c r="A8" s="1">
        <v>31</v>
      </c>
      <c r="B8" s="1">
        <v>2</v>
      </c>
      <c r="C8" s="2">
        <v>1864</v>
      </c>
      <c r="D8">
        <f t="shared" si="0"/>
        <v>3044.6204284811502</v>
      </c>
      <c r="E8" s="3">
        <f t="shared" si="1"/>
        <v>1393864.5961470145</v>
      </c>
      <c r="F8" s="10">
        <f t="shared" si="2"/>
        <v>4410252.0035999995</v>
      </c>
      <c r="G8" s="3">
        <f t="shared" si="3"/>
        <v>845369.12567476614</v>
      </c>
    </row>
    <row r="9" spans="1:10" ht="14.25" customHeight="1" x14ac:dyDescent="0.25">
      <c r="A9" s="1">
        <v>55</v>
      </c>
      <c r="B9" s="1">
        <v>2</v>
      </c>
      <c r="C9" s="2">
        <v>4070</v>
      </c>
      <c r="D9">
        <f t="shared" si="0"/>
        <v>3839.8118989000632</v>
      </c>
      <c r="E9" s="3">
        <f t="shared" si="1"/>
        <v>52986.561887994736</v>
      </c>
      <c r="F9" s="10">
        <f t="shared" si="2"/>
        <v>11223.283600000012</v>
      </c>
      <c r="G9" s="3">
        <f t="shared" si="3"/>
        <v>15437.590626940109</v>
      </c>
      <c r="I9" s="5" t="s">
        <v>11</v>
      </c>
      <c r="J9" s="7">
        <f>SUM(G4:G53)</f>
        <v>35250707.245937474</v>
      </c>
    </row>
    <row r="10" spans="1:10" ht="14.25" customHeight="1" x14ac:dyDescent="0.25">
      <c r="A10" s="1">
        <v>37</v>
      </c>
      <c r="B10" s="1">
        <v>1</v>
      </c>
      <c r="C10" s="2">
        <v>2731</v>
      </c>
      <c r="D10">
        <f t="shared" si="0"/>
        <v>2887.1225800295533</v>
      </c>
      <c r="E10" s="3">
        <f t="shared" si="1"/>
        <v>24374.259995084281</v>
      </c>
      <c r="F10" s="10">
        <f t="shared" si="2"/>
        <v>1520436.9635999999</v>
      </c>
      <c r="G10" s="3">
        <f t="shared" si="3"/>
        <v>1159794.2065326022</v>
      </c>
      <c r="I10" s="5" t="s">
        <v>10</v>
      </c>
      <c r="J10" s="7">
        <f>J9+J2</f>
        <v>42699100.393474355</v>
      </c>
    </row>
    <row r="11" spans="1:10" ht="14.25" customHeight="1" x14ac:dyDescent="0.25">
      <c r="A11" s="1">
        <v>40</v>
      </c>
      <c r="B11" s="1">
        <v>2</v>
      </c>
      <c r="C11" s="2">
        <v>3348</v>
      </c>
      <c r="D11">
        <f t="shared" si="0"/>
        <v>3342.8172298882419</v>
      </c>
      <c r="E11" s="3">
        <f t="shared" si="1"/>
        <v>26.861106031333541</v>
      </c>
      <c r="F11" s="10">
        <f t="shared" si="2"/>
        <v>379529.92359999992</v>
      </c>
      <c r="G11" s="3">
        <f t="shared" si="3"/>
        <v>385942.57941613073</v>
      </c>
    </row>
    <row r="12" spans="1:10" ht="14.25" customHeight="1" x14ac:dyDescent="0.25">
      <c r="A12" s="1">
        <v>66</v>
      </c>
      <c r="B12" s="1">
        <v>4</v>
      </c>
      <c r="C12" s="2">
        <v>4764</v>
      </c>
      <c r="D12">
        <f t="shared" si="0"/>
        <v>4916.8660882880476</v>
      </c>
      <c r="E12" s="3">
        <f t="shared" si="1"/>
        <v>23368.040948489179</v>
      </c>
      <c r="F12" s="10">
        <f t="shared" si="2"/>
        <v>639904.00360000005</v>
      </c>
      <c r="G12" s="3">
        <f t="shared" si="3"/>
        <v>907839.44187877094</v>
      </c>
    </row>
    <row r="13" spans="1:10" ht="14.25" customHeight="1" x14ac:dyDescent="0.25">
      <c r="A13" s="1">
        <v>51</v>
      </c>
      <c r="B13" s="1">
        <v>3</v>
      </c>
      <c r="C13" s="2">
        <v>4110</v>
      </c>
      <c r="D13">
        <f t="shared" si="0"/>
        <v>4063.5757032199026</v>
      </c>
      <c r="E13" s="3">
        <f t="shared" si="1"/>
        <v>2155.2153315265614</v>
      </c>
      <c r="F13" s="10">
        <f t="shared" si="2"/>
        <v>21298.483600000014</v>
      </c>
      <c r="G13" s="3">
        <f t="shared" si="3"/>
        <v>9903.3751873517449</v>
      </c>
      <c r="I13">
        <f>J9/J10</f>
        <v>0.82556088819437501</v>
      </c>
    </row>
    <row r="14" spans="1:10" ht="14.25" customHeight="1" x14ac:dyDescent="0.25">
      <c r="A14" s="1">
        <v>25</v>
      </c>
      <c r="B14" s="1">
        <v>3</v>
      </c>
      <c r="C14" s="2">
        <v>4208</v>
      </c>
      <c r="D14">
        <f t="shared" si="0"/>
        <v>3202.1182769327461</v>
      </c>
      <c r="E14" s="3">
        <f t="shared" si="1"/>
        <v>1011798.0408007477</v>
      </c>
      <c r="F14" s="10">
        <f t="shared" si="2"/>
        <v>59506.723600000027</v>
      </c>
      <c r="G14" s="3">
        <f t="shared" si="3"/>
        <v>580555.18935069581</v>
      </c>
      <c r="I14">
        <f>1-J2/J10</f>
        <v>0.8255608881943749</v>
      </c>
    </row>
    <row r="15" spans="1:10" ht="14.25" customHeight="1" x14ac:dyDescent="0.25">
      <c r="A15" s="1">
        <v>48</v>
      </c>
      <c r="B15" s="1">
        <v>4</v>
      </c>
      <c r="C15" s="2">
        <v>4219</v>
      </c>
      <c r="D15">
        <f t="shared" si="0"/>
        <v>4320.4724854738624</v>
      </c>
      <c r="E15" s="3">
        <f t="shared" si="1"/>
        <v>10296.665308243222</v>
      </c>
      <c r="F15" s="10">
        <f t="shared" si="2"/>
        <v>64994.403600000027</v>
      </c>
      <c r="G15" s="3">
        <f t="shared" si="3"/>
        <v>127029.85980165625</v>
      </c>
    </row>
    <row r="16" spans="1:10" ht="14.25" customHeight="1" x14ac:dyDescent="0.25">
      <c r="A16" s="1">
        <v>27</v>
      </c>
      <c r="B16" s="1">
        <v>1</v>
      </c>
      <c r="C16" s="2">
        <v>2477</v>
      </c>
      <c r="D16">
        <f t="shared" si="0"/>
        <v>2555.7928006883394</v>
      </c>
      <c r="E16" s="3">
        <f t="shared" si="1"/>
        <v>6208.3054403123797</v>
      </c>
      <c r="F16" s="10">
        <f t="shared" si="2"/>
        <v>2211347.4435999999</v>
      </c>
      <c r="G16" s="3">
        <f t="shared" si="3"/>
        <v>1983216.5046571081</v>
      </c>
      <c r="I16">
        <f>CORREL(C4:C53,D4:D53)</f>
        <v>0.90860392142669955</v>
      </c>
    </row>
    <row r="17" spans="1:9" ht="14.25" customHeight="1" x14ac:dyDescent="0.25">
      <c r="A17" s="1">
        <v>33</v>
      </c>
      <c r="B17" s="1">
        <v>2</v>
      </c>
      <c r="C17" s="2">
        <v>2514</v>
      </c>
      <c r="D17">
        <f t="shared" si="0"/>
        <v>3110.8863843493928</v>
      </c>
      <c r="E17" s="3">
        <f t="shared" si="1"/>
        <v>356273.35582169099</v>
      </c>
      <c r="F17" s="10">
        <f t="shared" si="2"/>
        <v>2102674.0035999999</v>
      </c>
      <c r="G17" s="3">
        <f t="shared" si="3"/>
        <v>727905.21844233002</v>
      </c>
      <c r="I17">
        <f>I16^2</f>
        <v>0.82556108603197598</v>
      </c>
    </row>
    <row r="18" spans="1:9" ht="14.25" customHeight="1" x14ac:dyDescent="0.25">
      <c r="A18" s="1">
        <v>65</v>
      </c>
      <c r="B18" s="1">
        <v>3</v>
      </c>
      <c r="C18" s="2">
        <v>4214</v>
      </c>
      <c r="D18">
        <f t="shared" si="0"/>
        <v>4527.4373942976017</v>
      </c>
      <c r="E18" s="3">
        <f t="shared" si="1"/>
        <v>98243.000144070247</v>
      </c>
      <c r="F18" s="10">
        <f t="shared" si="2"/>
        <v>62470.003600000025</v>
      </c>
      <c r="G18" s="3">
        <f t="shared" si="3"/>
        <v>317394.08840555546</v>
      </c>
    </row>
    <row r="19" spans="1:9" ht="14.25" customHeight="1" x14ac:dyDescent="0.25">
      <c r="A19" s="1">
        <v>63</v>
      </c>
      <c r="B19" s="1">
        <v>4</v>
      </c>
      <c r="C19" s="2">
        <v>4965</v>
      </c>
      <c r="D19">
        <f t="shared" si="0"/>
        <v>4817.4671544856837</v>
      </c>
      <c r="E19" s="3">
        <f t="shared" si="1"/>
        <v>21765.940505551105</v>
      </c>
      <c r="F19" s="10">
        <f t="shared" si="2"/>
        <v>1001880.8836000001</v>
      </c>
      <c r="G19" s="3">
        <f t="shared" si="3"/>
        <v>728303.7713273518</v>
      </c>
    </row>
    <row r="20" spans="1:9" ht="14.25" customHeight="1" x14ac:dyDescent="0.25">
      <c r="A20" s="1">
        <v>42</v>
      </c>
      <c r="B20" s="1">
        <v>6</v>
      </c>
      <c r="C20" s="2">
        <v>4412</v>
      </c>
      <c r="D20">
        <f t="shared" si="0"/>
        <v>4834.266049981783</v>
      </c>
      <c r="E20" s="3">
        <f t="shared" si="1"/>
        <v>178308.61696721765</v>
      </c>
      <c r="F20" s="10">
        <f t="shared" si="2"/>
        <v>200650.24360000005</v>
      </c>
      <c r="G20" s="3">
        <f t="shared" si="3"/>
        <v>757258.56942489755</v>
      </c>
    </row>
    <row r="21" spans="1:9" ht="14.25" customHeight="1" x14ac:dyDescent="0.25">
      <c r="A21" s="1">
        <v>21</v>
      </c>
      <c r="B21" s="1">
        <v>2</v>
      </c>
      <c r="C21" s="2">
        <v>2448</v>
      </c>
      <c r="D21">
        <f t="shared" si="0"/>
        <v>2713.2906491399358</v>
      </c>
      <c r="E21" s="3">
        <f t="shared" si="1"/>
        <v>70379.128521088511</v>
      </c>
      <c r="F21" s="10">
        <f t="shared" si="2"/>
        <v>2298437.9235999999</v>
      </c>
      <c r="G21" s="3">
        <f t="shared" si="3"/>
        <v>1564423.9690509064</v>
      </c>
    </row>
    <row r="22" spans="1:9" ht="14.25" customHeight="1" x14ac:dyDescent="0.25">
      <c r="A22" s="1">
        <v>44</v>
      </c>
      <c r="B22" s="1">
        <v>1</v>
      </c>
      <c r="C22" s="2">
        <v>2995</v>
      </c>
      <c r="D22">
        <f t="shared" si="0"/>
        <v>3119.0534255684033</v>
      </c>
      <c r="E22" s="3">
        <f t="shared" si="1"/>
        <v>15389.252395255384</v>
      </c>
      <c r="F22" s="10">
        <f t="shared" si="2"/>
        <v>939077.28359999985</v>
      </c>
      <c r="G22" s="3">
        <f t="shared" si="3"/>
        <v>714036.11083262146</v>
      </c>
    </row>
    <row r="23" spans="1:9" ht="14.25" customHeight="1" x14ac:dyDescent="0.25">
      <c r="A23" s="1">
        <v>37</v>
      </c>
      <c r="B23" s="1">
        <v>5</v>
      </c>
      <c r="C23" s="2">
        <v>4171</v>
      </c>
      <c r="D23">
        <f t="shared" si="0"/>
        <v>4312.3054442548519</v>
      </c>
      <c r="E23" s="3">
        <f t="shared" si="1"/>
        <v>19967.228576061047</v>
      </c>
      <c r="F23" s="10">
        <f t="shared" si="2"/>
        <v>42824.163600000022</v>
      </c>
      <c r="G23" s="3">
        <f t="shared" si="3"/>
        <v>121274.88944425917</v>
      </c>
    </row>
    <row r="24" spans="1:9" ht="14.25" customHeight="1" x14ac:dyDescent="0.25">
      <c r="A24" s="1">
        <v>62</v>
      </c>
      <c r="B24" s="1">
        <v>6</v>
      </c>
      <c r="C24" s="2">
        <v>5678</v>
      </c>
      <c r="D24">
        <f t="shared" si="0"/>
        <v>5496.9256086642117</v>
      </c>
      <c r="E24" s="3">
        <f t="shared" si="1"/>
        <v>32787.935197626197</v>
      </c>
      <c r="F24" s="10">
        <f t="shared" si="2"/>
        <v>2937590.3236000002</v>
      </c>
      <c r="G24" s="3">
        <f t="shared" si="3"/>
        <v>2349676.9742255043</v>
      </c>
    </row>
    <row r="25" spans="1:9" ht="14.25" customHeight="1" x14ac:dyDescent="0.25">
      <c r="A25" s="1">
        <v>21</v>
      </c>
      <c r="B25" s="1">
        <v>3</v>
      </c>
      <c r="C25" s="2">
        <v>3623</v>
      </c>
      <c r="D25">
        <f t="shared" si="0"/>
        <v>3069.58636519626</v>
      </c>
      <c r="E25" s="3">
        <f t="shared" si="1"/>
        <v>306266.65118668735</v>
      </c>
      <c r="F25" s="10">
        <f t="shared" si="2"/>
        <v>116321.92359999997</v>
      </c>
      <c r="G25" s="3">
        <f t="shared" si="3"/>
        <v>800083.08335901436</v>
      </c>
    </row>
    <row r="26" spans="1:9" ht="14.25" customHeight="1" x14ac:dyDescent="0.25">
      <c r="A26" s="1">
        <v>55</v>
      </c>
      <c r="B26" s="1">
        <v>7</v>
      </c>
      <c r="C26" s="2">
        <v>5301</v>
      </c>
      <c r="D26">
        <f t="shared" si="0"/>
        <v>5621.2904791816854</v>
      </c>
      <c r="E26" s="3">
        <f t="shared" si="1"/>
        <v>102585.99105443367</v>
      </c>
      <c r="F26" s="10">
        <f t="shared" si="2"/>
        <v>1787408.5636000002</v>
      </c>
      <c r="G26" s="3">
        <f t="shared" si="3"/>
        <v>2746412.8611287591</v>
      </c>
    </row>
    <row r="27" spans="1:9" ht="14.25" customHeight="1" x14ac:dyDescent="0.25">
      <c r="A27" s="1">
        <v>42</v>
      </c>
      <c r="B27" s="1">
        <v>2</v>
      </c>
      <c r="C27" s="2">
        <v>3020</v>
      </c>
      <c r="D27">
        <f t="shared" si="0"/>
        <v>3409.0831857564854</v>
      </c>
      <c r="E27" s="3">
        <f t="shared" si="1"/>
        <v>151385.72543841568</v>
      </c>
      <c r="F27" s="10">
        <f t="shared" si="2"/>
        <v>891249.28359999985</v>
      </c>
      <c r="G27" s="3">
        <f t="shared" si="3"/>
        <v>307999.2643478805</v>
      </c>
    </row>
    <row r="28" spans="1:9" ht="14.25" customHeight="1" x14ac:dyDescent="0.25">
      <c r="A28" s="1">
        <v>41</v>
      </c>
      <c r="B28" s="1">
        <v>7</v>
      </c>
      <c r="C28" s="2">
        <v>4828</v>
      </c>
      <c r="D28">
        <f t="shared" si="0"/>
        <v>5157.4287881039863</v>
      </c>
      <c r="E28" s="3">
        <f t="shared" si="1"/>
        <v>108523.32643166113</v>
      </c>
      <c r="F28" s="10">
        <f t="shared" si="2"/>
        <v>746392.32360000012</v>
      </c>
      <c r="G28" s="3">
        <f t="shared" si="3"/>
        <v>1424129.0644207771</v>
      </c>
    </row>
    <row r="29" spans="1:9" ht="14.25" customHeight="1" x14ac:dyDescent="0.25">
      <c r="A29" s="1">
        <v>54</v>
      </c>
      <c r="B29" s="1">
        <v>6</v>
      </c>
      <c r="C29" s="2">
        <v>5573</v>
      </c>
      <c r="D29">
        <f t="shared" si="0"/>
        <v>5231.8617851912395</v>
      </c>
      <c r="E29" s="3">
        <f t="shared" si="1"/>
        <v>116375.28160290801</v>
      </c>
      <c r="F29" s="10">
        <f t="shared" si="2"/>
        <v>2588687.9236000003</v>
      </c>
      <c r="G29" s="3">
        <f t="shared" si="3"/>
        <v>1607321.3665340939</v>
      </c>
    </row>
    <row r="30" spans="1:9" ht="14.25" customHeight="1" x14ac:dyDescent="0.25">
      <c r="A30" s="1">
        <v>30</v>
      </c>
      <c r="B30" s="1">
        <v>1</v>
      </c>
      <c r="C30" s="2">
        <v>2583</v>
      </c>
      <c r="D30">
        <f t="shared" si="0"/>
        <v>2655.1917344907038</v>
      </c>
      <c r="E30" s="3">
        <f t="shared" si="1"/>
        <v>5211.6465287762676</v>
      </c>
      <c r="F30" s="10">
        <f t="shared" si="2"/>
        <v>1907326.7235999999</v>
      </c>
      <c r="G30" s="3">
        <f t="shared" si="3"/>
        <v>1713136.1364573136</v>
      </c>
    </row>
    <row r="31" spans="1:9" ht="14.25" customHeight="1" x14ac:dyDescent="0.25">
      <c r="A31" s="1">
        <v>48</v>
      </c>
      <c r="B31" s="1">
        <v>2</v>
      </c>
      <c r="C31" s="2">
        <v>3866</v>
      </c>
      <c r="D31">
        <f t="shared" si="0"/>
        <v>3607.8810533612132</v>
      </c>
      <c r="E31" s="3">
        <f t="shared" si="1"/>
        <v>66625.390613916883</v>
      </c>
      <c r="F31" s="10">
        <f t="shared" si="2"/>
        <v>9615.7635999999893</v>
      </c>
      <c r="G31" s="3">
        <f t="shared" si="3"/>
        <v>126863.44202871573</v>
      </c>
    </row>
    <row r="32" spans="1:9" ht="14.25" customHeight="1" x14ac:dyDescent="0.25">
      <c r="A32" s="1">
        <v>34</v>
      </c>
      <c r="B32" s="1">
        <v>5</v>
      </c>
      <c r="C32" s="2">
        <v>3586</v>
      </c>
      <c r="D32">
        <f t="shared" si="0"/>
        <v>4212.9065104524871</v>
      </c>
      <c r="E32" s="3">
        <f t="shared" si="1"/>
        <v>393011.77284771425</v>
      </c>
      <c r="F32" s="10">
        <f t="shared" si="2"/>
        <v>142929.36359999995</v>
      </c>
      <c r="G32" s="3">
        <f t="shared" si="3"/>
        <v>61924.585764379779</v>
      </c>
    </row>
    <row r="33" spans="1:7" ht="14.25" customHeight="1" x14ac:dyDescent="0.25">
      <c r="A33" s="1">
        <v>67</v>
      </c>
      <c r="B33" s="1">
        <v>4</v>
      </c>
      <c r="C33" s="2">
        <v>5037</v>
      </c>
      <c r="D33">
        <f t="shared" si="0"/>
        <v>4949.9990662221689</v>
      </c>
      <c r="E33" s="3">
        <f t="shared" si="1"/>
        <v>7569.1624782145436</v>
      </c>
      <c r="F33" s="10">
        <f t="shared" si="2"/>
        <v>1151200.2436000002</v>
      </c>
      <c r="G33" s="3">
        <f t="shared" si="3"/>
        <v>972075.84230304253</v>
      </c>
    </row>
    <row r="34" spans="1:7" ht="14.25" customHeight="1" x14ac:dyDescent="0.25">
      <c r="A34" s="1">
        <v>50</v>
      </c>
      <c r="B34" s="1">
        <v>2</v>
      </c>
      <c r="C34" s="2">
        <v>3605</v>
      </c>
      <c r="D34">
        <f t="shared" si="0"/>
        <v>3674.1470092294558</v>
      </c>
      <c r="E34" s="3">
        <f t="shared" si="1"/>
        <v>4781.3088853784402</v>
      </c>
      <c r="F34" s="10">
        <f t="shared" si="2"/>
        <v>128924.08359999995</v>
      </c>
      <c r="G34" s="3">
        <f t="shared" si="3"/>
        <v>84049.542217521637</v>
      </c>
    </row>
    <row r="35" spans="1:7" ht="14.25" customHeight="1" x14ac:dyDescent="0.25">
      <c r="A35" s="1">
        <v>67</v>
      </c>
      <c r="B35" s="1">
        <v>5</v>
      </c>
      <c r="C35" s="2">
        <v>5345</v>
      </c>
      <c r="D35">
        <f t="shared" si="0"/>
        <v>5306.2947822784936</v>
      </c>
      <c r="E35" s="3">
        <f t="shared" si="1"/>
        <v>1498.0938788692142</v>
      </c>
      <c r="F35" s="10">
        <f t="shared" si="2"/>
        <v>1906995.2836000002</v>
      </c>
      <c r="G35" s="3">
        <f t="shared" si="3"/>
        <v>1801594.2107581953</v>
      </c>
    </row>
    <row r="36" spans="1:7" ht="14.25" customHeight="1" x14ac:dyDescent="0.25">
      <c r="A36" s="1">
        <v>55</v>
      </c>
      <c r="B36" s="1">
        <v>6</v>
      </c>
      <c r="C36" s="2">
        <v>5370</v>
      </c>
      <c r="D36">
        <f t="shared" si="0"/>
        <v>5264.9947631253608</v>
      </c>
      <c r="E36" s="3">
        <f t="shared" si="1"/>
        <v>11026.099771099087</v>
      </c>
      <c r="F36" s="10">
        <f t="shared" si="2"/>
        <v>1976667.2836000002</v>
      </c>
      <c r="G36" s="3">
        <f t="shared" si="3"/>
        <v>1692431.2579080388</v>
      </c>
    </row>
    <row r="37" spans="1:7" ht="14.25" customHeight="1" x14ac:dyDescent="0.25">
      <c r="A37" s="1">
        <v>52</v>
      </c>
      <c r="B37" s="1">
        <v>2</v>
      </c>
      <c r="C37" s="2">
        <v>3890</v>
      </c>
      <c r="D37">
        <f t="shared" si="0"/>
        <v>3740.4129650976993</v>
      </c>
      <c r="E37" s="3">
        <f t="shared" si="1"/>
        <v>22376.281010862138</v>
      </c>
      <c r="F37" s="10">
        <f t="shared" si="2"/>
        <v>5484.8835999999919</v>
      </c>
      <c r="G37" s="3">
        <f t="shared" si="3"/>
        <v>50017.996220590896</v>
      </c>
    </row>
    <row r="38" spans="1:7" ht="14.25" customHeight="1" x14ac:dyDescent="0.25">
      <c r="A38" s="1">
        <v>62</v>
      </c>
      <c r="B38" s="1">
        <v>3</v>
      </c>
      <c r="C38" s="2">
        <v>4705</v>
      </c>
      <c r="D38">
        <f t="shared" si="0"/>
        <v>4428.0384604952378</v>
      </c>
      <c r="E38" s="3">
        <f t="shared" si="1"/>
        <v>76707.69436484795</v>
      </c>
      <c r="F38" s="10">
        <f t="shared" si="2"/>
        <v>548992.08360000013</v>
      </c>
      <c r="G38" s="3">
        <f t="shared" si="3"/>
        <v>215276.011803531</v>
      </c>
    </row>
    <row r="39" spans="1:7" ht="14.25" customHeight="1" x14ac:dyDescent="0.25">
      <c r="A39" s="1">
        <v>64</v>
      </c>
      <c r="B39" s="1">
        <v>2</v>
      </c>
      <c r="C39" s="2">
        <v>4157</v>
      </c>
      <c r="D39">
        <f t="shared" si="0"/>
        <v>4138.0087003071558</v>
      </c>
      <c r="E39" s="3">
        <f t="shared" si="1"/>
        <v>360.66946402342506</v>
      </c>
      <c r="F39" s="10">
        <f t="shared" si="2"/>
        <v>37225.843600000022</v>
      </c>
      <c r="G39" s="3">
        <f t="shared" si="3"/>
        <v>30258.150338548716</v>
      </c>
    </row>
    <row r="40" spans="1:7" ht="14.25" customHeight="1" x14ac:dyDescent="0.25">
      <c r="A40" s="1">
        <v>22</v>
      </c>
      <c r="B40" s="1">
        <v>3</v>
      </c>
      <c r="C40" s="2">
        <v>3579</v>
      </c>
      <c r="D40">
        <f t="shared" si="0"/>
        <v>3102.7193431303817</v>
      </c>
      <c r="E40" s="3">
        <f t="shared" si="1"/>
        <v>226843.26410815507</v>
      </c>
      <c r="F40" s="10">
        <f t="shared" si="2"/>
        <v>148271.20359999995</v>
      </c>
      <c r="G40" s="3">
        <f t="shared" si="3"/>
        <v>741907.72717658535</v>
      </c>
    </row>
    <row r="41" spans="1:7" ht="14.25" customHeight="1" x14ac:dyDescent="0.25">
      <c r="A41" s="1">
        <v>29</v>
      </c>
      <c r="B41" s="1">
        <v>4</v>
      </c>
      <c r="C41" s="2">
        <v>3890</v>
      </c>
      <c r="D41">
        <f t="shared" si="0"/>
        <v>3690.9459047255559</v>
      </c>
      <c r="E41" s="3">
        <f t="shared" si="1"/>
        <v>39622.532845527458</v>
      </c>
      <c r="F41" s="10">
        <f t="shared" si="2"/>
        <v>5484.8835999999919</v>
      </c>
      <c r="G41" s="3">
        <f t="shared" si="3"/>
        <v>74591.309037578088</v>
      </c>
    </row>
    <row r="42" spans="1:7" ht="14.25" customHeight="1" x14ac:dyDescent="0.25">
      <c r="A42" s="1">
        <v>39</v>
      </c>
      <c r="B42" s="1">
        <v>2</v>
      </c>
      <c r="C42" s="2">
        <v>2972</v>
      </c>
      <c r="D42">
        <f t="shared" si="0"/>
        <v>3309.6842519541206</v>
      </c>
      <c r="E42" s="3">
        <f t="shared" si="1"/>
        <v>114030.65401781397</v>
      </c>
      <c r="F42" s="10">
        <f t="shared" si="2"/>
        <v>984183.04359999986</v>
      </c>
      <c r="G42" s="3">
        <f t="shared" si="3"/>
        <v>428207.61963060423</v>
      </c>
    </row>
    <row r="43" spans="1:7" ht="14.25" customHeight="1" x14ac:dyDescent="0.25">
      <c r="A43" s="1">
        <v>35</v>
      </c>
      <c r="B43" s="1">
        <v>1</v>
      </c>
      <c r="C43" s="2">
        <v>3121</v>
      </c>
      <c r="D43">
        <f t="shared" si="0"/>
        <v>2820.8566241613107</v>
      </c>
      <c r="E43" s="3">
        <f t="shared" si="1"/>
        <v>90086.046059844695</v>
      </c>
      <c r="F43" s="10">
        <f t="shared" si="2"/>
        <v>710750.16359999985</v>
      </c>
      <c r="G43" s="3">
        <f t="shared" si="3"/>
        <v>1306913.9585289753</v>
      </c>
    </row>
    <row r="44" spans="1:7" ht="14.25" customHeight="1" x14ac:dyDescent="0.25">
      <c r="A44" s="1">
        <v>39</v>
      </c>
      <c r="B44" s="1">
        <v>4</v>
      </c>
      <c r="C44" s="2">
        <v>4183</v>
      </c>
      <c r="D44">
        <f t="shared" si="0"/>
        <v>4022.2756840667698</v>
      </c>
      <c r="E44" s="3">
        <f t="shared" si="1"/>
        <v>25832.305732204786</v>
      </c>
      <c r="F44" s="10">
        <f t="shared" si="2"/>
        <v>47934.723600000027</v>
      </c>
      <c r="G44" s="3">
        <f t="shared" si="3"/>
        <v>3389.0658713619646</v>
      </c>
    </row>
    <row r="45" spans="1:7" ht="14.25" customHeight="1" x14ac:dyDescent="0.25">
      <c r="A45" s="1">
        <v>54</v>
      </c>
      <c r="B45" s="1">
        <v>3</v>
      </c>
      <c r="C45" s="2">
        <v>3730</v>
      </c>
      <c r="D45">
        <f t="shared" si="0"/>
        <v>4162.9746370222665</v>
      </c>
      <c r="E45" s="3">
        <f t="shared" si="1"/>
        <v>187467.03630456343</v>
      </c>
      <c r="F45" s="10">
        <f t="shared" si="2"/>
        <v>54784.083599999976</v>
      </c>
      <c r="G45" s="3">
        <f t="shared" si="3"/>
        <v>39567.032821700057</v>
      </c>
    </row>
    <row r="46" spans="1:7" ht="14.25" customHeight="1" x14ac:dyDescent="0.25">
      <c r="A46" s="1">
        <v>23</v>
      </c>
      <c r="B46" s="1">
        <v>6</v>
      </c>
      <c r="C46" s="2">
        <v>4127</v>
      </c>
      <c r="D46">
        <f t="shared" si="0"/>
        <v>4204.7394692334765</v>
      </c>
      <c r="E46" s="3">
        <f t="shared" si="1"/>
        <v>6043.4250767026369</v>
      </c>
      <c r="F46" s="10">
        <f t="shared" si="2"/>
        <v>26549.443600000017</v>
      </c>
      <c r="G46" s="3">
        <f t="shared" si="3"/>
        <v>57926.606910507981</v>
      </c>
    </row>
    <row r="47" spans="1:7" ht="14.25" customHeight="1" x14ac:dyDescent="0.25">
      <c r="A47" s="1">
        <v>27</v>
      </c>
      <c r="B47" s="1">
        <v>2</v>
      </c>
      <c r="C47" s="2">
        <v>2921</v>
      </c>
      <c r="D47">
        <f t="shared" si="0"/>
        <v>2912.088516744664</v>
      </c>
      <c r="E47" s="3">
        <f t="shared" si="1"/>
        <v>79.414533810133051</v>
      </c>
      <c r="F47" s="10">
        <f t="shared" si="2"/>
        <v>1087974.1635999999</v>
      </c>
      <c r="G47" s="3">
        <f t="shared" si="3"/>
        <v>1106644.0015824314</v>
      </c>
    </row>
    <row r="48" spans="1:7" ht="14.25" customHeight="1" x14ac:dyDescent="0.25">
      <c r="A48" s="1">
        <v>26</v>
      </c>
      <c r="B48" s="1">
        <v>7</v>
      </c>
      <c r="C48" s="2">
        <v>4603</v>
      </c>
      <c r="D48">
        <f t="shared" si="0"/>
        <v>4660.434119092165</v>
      </c>
      <c r="E48" s="3">
        <f t="shared" si="1"/>
        <v>3298.6780358929946</v>
      </c>
      <c r="F48" s="10">
        <f t="shared" si="2"/>
        <v>408244.32360000006</v>
      </c>
      <c r="G48" s="3">
        <f t="shared" si="3"/>
        <v>484936.91374138888</v>
      </c>
    </row>
    <row r="49" spans="1:7" ht="14.25" customHeight="1" x14ac:dyDescent="0.25">
      <c r="A49" s="1">
        <v>61</v>
      </c>
      <c r="B49" s="1">
        <v>2</v>
      </c>
      <c r="C49" s="2">
        <v>4273</v>
      </c>
      <c r="D49">
        <f t="shared" si="0"/>
        <v>4038.6097665047919</v>
      </c>
      <c r="E49" s="3">
        <f t="shared" si="1"/>
        <v>54938.781557938186</v>
      </c>
      <c r="F49" s="10">
        <f t="shared" si="2"/>
        <v>95443.923600000038</v>
      </c>
      <c r="G49" s="3">
        <f t="shared" si="3"/>
        <v>5557.6676859189974</v>
      </c>
    </row>
    <row r="50" spans="1:7" ht="14.25" customHeight="1" x14ac:dyDescent="0.25">
      <c r="A50" s="1">
        <v>30</v>
      </c>
      <c r="B50" s="1">
        <v>2</v>
      </c>
      <c r="C50" s="2">
        <v>3067</v>
      </c>
      <c r="D50">
        <f t="shared" si="0"/>
        <v>3011.4874505470279</v>
      </c>
      <c r="E50" s="3">
        <f t="shared" si="1"/>
        <v>3081.6431467686675</v>
      </c>
      <c r="F50" s="10">
        <f t="shared" si="2"/>
        <v>804716.64359999995</v>
      </c>
      <c r="G50" s="3">
        <f t="shared" si="3"/>
        <v>907394.46197133476</v>
      </c>
    </row>
    <row r="51" spans="1:7" ht="14.25" customHeight="1" x14ac:dyDescent="0.25">
      <c r="A51" s="1">
        <v>22</v>
      </c>
      <c r="B51" s="1">
        <v>4</v>
      </c>
      <c r="C51" s="2">
        <v>3074</v>
      </c>
      <c r="D51">
        <f t="shared" si="0"/>
        <v>3459.0150591867059</v>
      </c>
      <c r="E51" s="3">
        <f t="shared" si="1"/>
        <v>148236.59580054265</v>
      </c>
      <c r="F51" s="10">
        <f t="shared" si="2"/>
        <v>792206.80359999987</v>
      </c>
      <c r="G51" s="3">
        <f t="shared" si="3"/>
        <v>255070.39224110366</v>
      </c>
    </row>
    <row r="52" spans="1:7" ht="14.25" customHeight="1" x14ac:dyDescent="0.25">
      <c r="A52" s="1">
        <v>46</v>
      </c>
      <c r="B52" s="1">
        <v>5</v>
      </c>
      <c r="C52" s="2">
        <v>4820</v>
      </c>
      <c r="D52">
        <f t="shared" si="0"/>
        <v>4610.5022456619445</v>
      </c>
      <c r="E52" s="3">
        <f t="shared" si="1"/>
        <v>43889.309072688266</v>
      </c>
      <c r="F52" s="10">
        <f t="shared" si="2"/>
        <v>732633.28360000008</v>
      </c>
      <c r="G52" s="3">
        <f t="shared" si="3"/>
        <v>417887.57697645784</v>
      </c>
    </row>
    <row r="53" spans="1:7" ht="14.25" customHeight="1" x14ac:dyDescent="0.25">
      <c r="A53" s="1">
        <v>66</v>
      </c>
      <c r="B53" s="1">
        <v>4</v>
      </c>
      <c r="C53" s="2">
        <v>5149</v>
      </c>
      <c r="D53">
        <f t="shared" si="0"/>
        <v>4916.8660882880476</v>
      </c>
      <c r="E53" s="3">
        <f t="shared" si="1"/>
        <v>53886.152966692491</v>
      </c>
      <c r="F53" s="10">
        <f t="shared" si="2"/>
        <v>1404082.8036000002</v>
      </c>
      <c r="G53" s="3">
        <f t="shared" si="3"/>
        <v>907839.44187877094</v>
      </c>
    </row>
    <row r="54" spans="1:7" ht="14.25" customHeight="1" x14ac:dyDescent="0.25"/>
    <row r="55" spans="1:7" ht="14.25" customHeight="1" x14ac:dyDescent="0.25"/>
    <row r="56" spans="1:7" ht="14.25" customHeight="1" x14ac:dyDescent="0.25"/>
    <row r="57" spans="1:7" ht="14.25" customHeight="1" x14ac:dyDescent="0.25"/>
    <row r="58" spans="1:7" ht="14.25" customHeight="1" x14ac:dyDescent="0.25"/>
    <row r="59" spans="1:7" ht="14.25" customHeight="1" x14ac:dyDescent="0.25"/>
    <row r="60" spans="1:7" ht="14.25" customHeight="1" x14ac:dyDescent="0.25"/>
    <row r="61" spans="1:7" ht="14.25" customHeight="1" x14ac:dyDescent="0.25"/>
    <row r="62" spans="1:7" ht="14.25" customHeight="1" x14ac:dyDescent="0.25"/>
    <row r="63" spans="1:7" ht="14.25" customHeight="1" x14ac:dyDescent="0.25"/>
    <row r="64" spans="1:7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gurubagi</dc:creator>
  <cp:lastModifiedBy>Mohammed Ahmed</cp:lastModifiedBy>
  <dcterms:created xsi:type="dcterms:W3CDTF">2022-04-04T06:20:42Z</dcterms:created>
  <dcterms:modified xsi:type="dcterms:W3CDTF">2025-10-19T12:44:15Z</dcterms:modified>
</cp:coreProperties>
</file>