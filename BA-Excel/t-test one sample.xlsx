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pattabiraman\Documents\Guru.Workarea\Academic Courses\University of London\Business Analytics, Applied Modeling &amp; Prediction\Course Files\Day 7 - 12 Oct 2025\"/>
    </mc:Choice>
  </mc:AlternateContent>
  <xr:revisionPtr revIDLastSave="0" documentId="13_ncr:1_{838B505C-6B8E-44DC-9B26-3F28C9A107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neSample_tTest" sheetId="1" r:id="rId1"/>
    <sheet name="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11" i="1"/>
  <c r="G4" i="1"/>
  <c r="G5" i="1" s="1"/>
  <c r="G7" i="1" s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B12" i="1"/>
  <c r="B15" i="1" s="1"/>
  <c r="B20" i="1" s="1"/>
  <c r="H11" i="1"/>
  <c r="H10" i="1"/>
  <c r="B10" i="1"/>
  <c r="H9" i="1"/>
  <c r="B9" i="1"/>
  <c r="B16" i="1" s="1"/>
  <c r="H8" i="1"/>
  <c r="H7" i="1"/>
  <c r="H6" i="1"/>
  <c r="H5" i="1"/>
  <c r="B21" i="1" l="1"/>
  <c r="B19" i="1"/>
  <c r="G6" i="1"/>
</calcChain>
</file>

<file path=xl/sharedStrings.xml><?xml version="1.0" encoding="utf-8"?>
<sst xmlns="http://schemas.openxmlformats.org/spreadsheetml/2006/main" count="32" uniqueCount="32">
  <si>
    <t>Inputs</t>
  </si>
  <si>
    <t>Hypothesized mean (μ₀)</t>
  </si>
  <si>
    <t>Alpha (significance level)</t>
  </si>
  <si>
    <t>Alternative</t>
  </si>
  <si>
    <t>Right-tailed (μ &gt; μ₀)</t>
  </si>
  <si>
    <t>Sample Data: Daily Sales (BHD)</t>
  </si>
  <si>
    <t>Day</t>
  </si>
  <si>
    <t>Sales</t>
  </si>
  <si>
    <t>Summary Statistics</t>
  </si>
  <si>
    <t>Sample size (n)</t>
  </si>
  <si>
    <t>Sample mean (x̄)</t>
  </si>
  <si>
    <t>Sample SD (s)</t>
  </si>
  <si>
    <t>Standard error (SE = s/√n)</t>
  </si>
  <si>
    <t>Test Statistic</t>
  </si>
  <si>
    <t>t = (x̄ - μ₀) / SE</t>
  </si>
  <si>
    <t>Degrees of freedom (df = n-1)</t>
  </si>
  <si>
    <t>P-values</t>
  </si>
  <si>
    <t>Right-tailed p (P(T ≥ t))</t>
  </si>
  <si>
    <t>Left-tailed p (P(T ≤ t))</t>
  </si>
  <si>
    <t>Two-tailed p (2 * min-tail)</t>
  </si>
  <si>
    <t>Decision (α from B5; uses right-tailed p)</t>
  </si>
  <si>
    <t>Reject H0?</t>
  </si>
  <si>
    <t>95% Confidence Interval for Mean</t>
  </si>
  <si>
    <t>t* (two-tailed, α=0.05)</t>
  </si>
  <si>
    <t>Margin of Error (t*×SE)</t>
  </si>
  <si>
    <t>Lower bound</t>
  </si>
  <si>
    <t>Upper bound</t>
  </si>
  <si>
    <t>Differences vs μ₀ (for paired-test workaround)</t>
  </si>
  <si>
    <t>Sales - μ₀</t>
  </si>
  <si>
    <t>One-Sample t-Test in Excel - Retail Daily Sales</t>
  </si>
  <si>
    <t xml:space="preserve">
Business Scenario:
You manage daily sales for a retail chain. The company goal is μ₀ = 8,000 BHD per day. We want to test if the true mean daily sales exceeds this target.
Hypotheses (Right-tailed test):
H₀: μ = μ₀ (8,000)
H₁: μ &gt; μ₀
Excel Steps (Manual formula route):
1) Compute x̄ with =AVERAGE(range), s with =STDEV.S(range), n with =COUNTA(range).
2) Compute SE = s/SQRT(n).
3) Compute t = (x̄ - μ₀) / SE.
4) Degrees of freedom df = n - 1.
5) Get p-values with T.DIST.RT (right-tail), T.DIST (left-tail), T.DIST.2T (two-tail).
6) Compare p-value to α (e.g., 0.05) to decide whether to reject H₀.
Excel Function Arguments:
• T.DIST.RT(x, deg_freedom): Right-tail probability P(T ≥ x).
• T.DIST(x, deg_freedom, cumulative): If cumulative=TRUE, returns left-tail P(T ≤ x).
• T.DIST.2T(x, deg_freedom): Two-tail probability 2*min-tail.
• T.INV.2T(probability, deg_freedom): Critical t for two-tailed confidence intervals.
Using Data Analysis ToolPak (workaround for 1-sample t):
A) Create a helper column of differences = Sales - μ₀. This converts the 1-sample mean test into a paired test vs zero.
B) Data → Data Analysis → t-Test: Paired Two Sample for Means.
   - Variable 1 Range: original Sales
   - Variable 2 Range: a column of μ₀ repeated, or use the Differences column vs zero as the input (by pairing Sales with μ₀).
   - Hypothesized Mean Difference: 0
   - Output options: choose a cell or new sheet.
C) Interpret the t-stat, df, and P(T&lt;=t) two-tail. For a one-sided claim, halve the two-tail p when the sign of t matches H₁.
Notes:
• Check assumptions: independence, approximate normality of population or n≥30 (by CLT).
• For left-tailed or two-tailed tests, change the Alternative in B6 and use B20 or B21 accordingly.
• Confidence interval provided at right uses T.INV.2T for 95% CI.
</t>
  </si>
  <si>
    <t>How to use this workbook - One-Sample t-Test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</si>
</sst>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/>
  </sheetViews>
  <sheetFormatPr defaultRowHeight="14.4" x14ac:dyDescent="0.3"/>
  <cols>
    <col min="1" max="1" width="50.6640625" bestFit="1" customWidth="1"/>
    <col min="2" max="3" width="20.6640625" customWidth="1"/>
    <col min="4" max="4" width="27.109375" bestFit="1" customWidth="1"/>
    <col min="6" max="6" width="30.109375" bestFit="1" customWidth="1"/>
    <col min="7" max="7" width="24.6640625" customWidth="1"/>
    <col min="8" max="8" width="40.33203125" bestFit="1" customWidth="1"/>
  </cols>
  <sheetData>
    <row r="1" spans="1:8" ht="18" x14ac:dyDescent="0.35">
      <c r="A1" s="1" t="s">
        <v>29</v>
      </c>
    </row>
    <row r="3" spans="1:8" x14ac:dyDescent="0.3">
      <c r="A3" s="2" t="s">
        <v>0</v>
      </c>
      <c r="D3" s="2" t="s">
        <v>5</v>
      </c>
      <c r="F3" s="2" t="s">
        <v>22</v>
      </c>
      <c r="H3" s="2" t="s">
        <v>27</v>
      </c>
    </row>
    <row r="4" spans="1:8" x14ac:dyDescent="0.3">
      <c r="A4" s="3" t="s">
        <v>1</v>
      </c>
      <c r="B4">
        <v>8000</v>
      </c>
      <c r="D4" s="2" t="s">
        <v>6</v>
      </c>
      <c r="E4" s="2" t="s">
        <v>7</v>
      </c>
      <c r="F4" s="3" t="s">
        <v>23</v>
      </c>
      <c r="G4" s="4">
        <f>_xlfn.T.INV.2T(0.05,B16)</f>
        <v>2.0452296421327048</v>
      </c>
      <c r="H4" s="2" t="s">
        <v>28</v>
      </c>
    </row>
    <row r="5" spans="1:8" x14ac:dyDescent="0.3">
      <c r="A5" s="3" t="s">
        <v>2</v>
      </c>
      <c r="B5">
        <v>0.05</v>
      </c>
      <c r="D5">
        <v>1</v>
      </c>
      <c r="E5" s="5">
        <v>8776</v>
      </c>
      <c r="F5" s="3" t="s">
        <v>24</v>
      </c>
      <c r="G5" s="4">
        <f>G4*B12</f>
        <v>319.57142393506211</v>
      </c>
      <c r="H5" s="5">
        <f t="shared" ref="H5:H34" si="0">E5-$B$4</f>
        <v>776</v>
      </c>
    </row>
    <row r="6" spans="1:8" x14ac:dyDescent="0.3">
      <c r="A6" s="3" t="s">
        <v>3</v>
      </c>
      <c r="B6" t="s">
        <v>4</v>
      </c>
      <c r="D6">
        <v>2</v>
      </c>
      <c r="E6" s="5">
        <v>9218</v>
      </c>
      <c r="F6" s="3" t="s">
        <v>25</v>
      </c>
      <c r="G6" s="4">
        <f>B10-G5</f>
        <v>8049.461909398271</v>
      </c>
      <c r="H6" s="5">
        <f t="shared" si="0"/>
        <v>1218</v>
      </c>
    </row>
    <row r="7" spans="1:8" x14ac:dyDescent="0.3">
      <c r="D7">
        <v>3</v>
      </c>
      <c r="E7" s="5">
        <v>9557</v>
      </c>
      <c r="F7" s="3" t="s">
        <v>26</v>
      </c>
      <c r="G7" s="4">
        <f>B10+G5</f>
        <v>8688.6047572683947</v>
      </c>
      <c r="H7" s="5">
        <f t="shared" si="0"/>
        <v>1557</v>
      </c>
    </row>
    <row r="8" spans="1:8" x14ac:dyDescent="0.3">
      <c r="A8" s="2" t="s">
        <v>8</v>
      </c>
      <c r="D8">
        <v>4</v>
      </c>
      <c r="E8" s="5">
        <v>6874</v>
      </c>
      <c r="H8" s="5">
        <f t="shared" si="0"/>
        <v>-1126</v>
      </c>
    </row>
    <row r="9" spans="1:8" x14ac:dyDescent="0.3">
      <c r="A9" s="3" t="s">
        <v>9</v>
      </c>
      <c r="B9">
        <f>COUNTA(E5:E34)</f>
        <v>30</v>
      </c>
      <c r="D9">
        <v>5</v>
      </c>
      <c r="E9" s="5">
        <v>8875</v>
      </c>
      <c r="H9" s="5">
        <f t="shared" si="0"/>
        <v>875</v>
      </c>
    </row>
    <row r="10" spans="1:8" x14ac:dyDescent="0.3">
      <c r="A10" s="3" t="s">
        <v>10</v>
      </c>
      <c r="B10" s="4">
        <f>AVERAGE(E5:E34)</f>
        <v>8369.0333333333328</v>
      </c>
      <c r="D10">
        <v>6</v>
      </c>
      <c r="E10" s="5">
        <v>6885</v>
      </c>
      <c r="H10" s="5">
        <f t="shared" si="0"/>
        <v>-1115</v>
      </c>
    </row>
    <row r="11" spans="1:8" x14ac:dyDescent="0.3">
      <c r="A11" s="3" t="s">
        <v>11</v>
      </c>
      <c r="B11" s="4">
        <f>_xlfn.STDEV.S(E5:E34)</f>
        <v>855.82799123113148</v>
      </c>
      <c r="D11">
        <v>7</v>
      </c>
      <c r="E11" s="5">
        <v>7899</v>
      </c>
      <c r="H11" s="5">
        <f t="shared" si="0"/>
        <v>-101</v>
      </c>
    </row>
    <row r="12" spans="1:8" x14ac:dyDescent="0.3">
      <c r="A12" s="3" t="s">
        <v>12</v>
      </c>
      <c r="B12" s="4">
        <f>B11/SQRT(B9)</f>
        <v>156.25209871387474</v>
      </c>
      <c r="D12">
        <v>8</v>
      </c>
      <c r="E12" s="5">
        <v>7053</v>
      </c>
      <c r="H12" s="5">
        <f t="shared" si="0"/>
        <v>-947</v>
      </c>
    </row>
    <row r="13" spans="1:8" x14ac:dyDescent="0.3">
      <c r="D13">
        <v>9</v>
      </c>
      <c r="E13" s="5">
        <v>8674</v>
      </c>
      <c r="H13" s="5">
        <f t="shared" si="0"/>
        <v>674</v>
      </c>
    </row>
    <row r="14" spans="1:8" x14ac:dyDescent="0.3">
      <c r="A14" s="2" t="s">
        <v>13</v>
      </c>
      <c r="D14">
        <v>10</v>
      </c>
      <c r="E14" s="5">
        <v>8465</v>
      </c>
      <c r="H14" s="5">
        <f t="shared" si="0"/>
        <v>465</v>
      </c>
    </row>
    <row r="15" spans="1:8" x14ac:dyDescent="0.3">
      <c r="A15" s="3" t="s">
        <v>14</v>
      </c>
      <c r="B15" s="4">
        <f>(B10-$B$4)/B12</f>
        <v>2.3617816104287868</v>
      </c>
      <c r="D15">
        <v>11</v>
      </c>
      <c r="E15" s="5">
        <v>8040</v>
      </c>
      <c r="H15" s="5">
        <f t="shared" si="0"/>
        <v>40</v>
      </c>
    </row>
    <row r="16" spans="1:8" x14ac:dyDescent="0.3">
      <c r="A16" s="3" t="s">
        <v>15</v>
      </c>
      <c r="B16">
        <f>B9-1</f>
        <v>29</v>
      </c>
      <c r="D16">
        <v>12</v>
      </c>
      <c r="E16" s="5">
        <v>9909</v>
      </c>
      <c r="H16" s="5">
        <f t="shared" si="0"/>
        <v>1909</v>
      </c>
    </row>
    <row r="17" spans="1:8" x14ac:dyDescent="0.3">
      <c r="D17">
        <v>13</v>
      </c>
      <c r="E17" s="5">
        <v>8758</v>
      </c>
      <c r="H17" s="5">
        <f t="shared" si="0"/>
        <v>758</v>
      </c>
    </row>
    <row r="18" spans="1:8" x14ac:dyDescent="0.3">
      <c r="A18" s="2" t="s">
        <v>16</v>
      </c>
      <c r="D18">
        <v>14</v>
      </c>
      <c r="E18" s="5">
        <v>8477</v>
      </c>
      <c r="H18" s="5">
        <f t="shared" si="0"/>
        <v>477</v>
      </c>
    </row>
    <row r="19" spans="1:8" x14ac:dyDescent="0.3">
      <c r="A19" s="3" t="s">
        <v>17</v>
      </c>
      <c r="B19" s="4">
        <f>_xlfn.T.DIST.RT(B15,B16)</f>
        <v>1.2558213684130997E-2</v>
      </c>
      <c r="D19">
        <v>15</v>
      </c>
      <c r="E19" s="5">
        <v>7422</v>
      </c>
      <c r="H19" s="5">
        <f t="shared" si="0"/>
        <v>-578</v>
      </c>
    </row>
    <row r="20" spans="1:8" x14ac:dyDescent="0.3">
      <c r="A20" s="3" t="s">
        <v>18</v>
      </c>
      <c r="B20" s="4">
        <f>_xlfn.T.DIST(B15,B16,TRUE)</f>
        <v>0.98744178631586899</v>
      </c>
      <c r="D20">
        <v>16</v>
      </c>
      <c r="E20" s="5">
        <v>8908</v>
      </c>
      <c r="H20" s="5">
        <f t="shared" si="0"/>
        <v>908</v>
      </c>
    </row>
    <row r="21" spans="1:8" x14ac:dyDescent="0.3">
      <c r="A21" s="3" t="s">
        <v>19</v>
      </c>
      <c r="B21" s="4">
        <f>_xlfn.T.DIST.2T(ABS(B15),B16)</f>
        <v>2.5116427368261994E-2</v>
      </c>
      <c r="D21">
        <v>17</v>
      </c>
      <c r="E21" s="5">
        <v>9147</v>
      </c>
      <c r="H21" s="5">
        <f t="shared" si="0"/>
        <v>1147</v>
      </c>
    </row>
    <row r="22" spans="1:8" x14ac:dyDescent="0.3">
      <c r="D22">
        <v>18</v>
      </c>
      <c r="E22" s="5">
        <v>8977</v>
      </c>
      <c r="H22" s="5">
        <f t="shared" si="0"/>
        <v>977</v>
      </c>
    </row>
    <row r="23" spans="1:8" x14ac:dyDescent="0.3">
      <c r="A23" s="2" t="s">
        <v>20</v>
      </c>
      <c r="D23">
        <v>19</v>
      </c>
      <c r="E23" s="5">
        <v>9130</v>
      </c>
      <c r="H23" s="5">
        <f t="shared" si="0"/>
        <v>1130</v>
      </c>
    </row>
    <row r="24" spans="1:8" x14ac:dyDescent="0.3">
      <c r="A24" s="3" t="s">
        <v>21</v>
      </c>
      <c r="B24" t="str">
        <f>IF(B19&lt;$B$5,"Yes - evidence that μ&gt;μ₀","No - not enough evidence")</f>
        <v>Yes - evidence that μ&gt;μ₀</v>
      </c>
      <c r="D24">
        <v>20</v>
      </c>
      <c r="E24" s="5">
        <v>9630</v>
      </c>
      <c r="H24" s="5">
        <f t="shared" si="0"/>
        <v>1630</v>
      </c>
    </row>
    <row r="25" spans="1:8" x14ac:dyDescent="0.3">
      <c r="D25">
        <v>21</v>
      </c>
      <c r="E25" s="5">
        <v>6572</v>
      </c>
      <c r="H25" s="5">
        <f t="shared" si="0"/>
        <v>-1428</v>
      </c>
    </row>
    <row r="26" spans="1:8" x14ac:dyDescent="0.3">
      <c r="D26">
        <v>22</v>
      </c>
      <c r="E26" s="5">
        <v>8289</v>
      </c>
      <c r="H26" s="5">
        <f t="shared" si="0"/>
        <v>289</v>
      </c>
    </row>
    <row r="27" spans="1:8" x14ac:dyDescent="0.3">
      <c r="D27">
        <v>23</v>
      </c>
      <c r="E27" s="5">
        <v>7836</v>
      </c>
      <c r="H27" s="5">
        <f t="shared" si="0"/>
        <v>-164</v>
      </c>
    </row>
    <row r="28" spans="1:8" x14ac:dyDescent="0.3">
      <c r="D28">
        <v>24</v>
      </c>
      <c r="E28" s="5">
        <v>8097</v>
      </c>
      <c r="H28" s="5">
        <f t="shared" si="0"/>
        <v>97</v>
      </c>
    </row>
    <row r="29" spans="1:8" x14ac:dyDescent="0.3">
      <c r="D29">
        <v>25</v>
      </c>
      <c r="E29" s="5">
        <v>8156</v>
      </c>
      <c r="H29" s="5">
        <f t="shared" si="0"/>
        <v>156</v>
      </c>
    </row>
    <row r="30" spans="1:8" x14ac:dyDescent="0.3">
      <c r="D30">
        <v>26</v>
      </c>
      <c r="E30" s="5">
        <v>9084</v>
      </c>
      <c r="H30" s="5">
        <f t="shared" si="0"/>
        <v>1084</v>
      </c>
    </row>
    <row r="31" spans="1:8" x14ac:dyDescent="0.3">
      <c r="D31">
        <v>27</v>
      </c>
      <c r="E31" s="5">
        <v>8596</v>
      </c>
      <c r="H31" s="5">
        <f t="shared" si="0"/>
        <v>596</v>
      </c>
    </row>
    <row r="32" spans="1:8" x14ac:dyDescent="0.3">
      <c r="D32">
        <v>28</v>
      </c>
      <c r="E32" s="5">
        <v>7397</v>
      </c>
      <c r="H32" s="5">
        <f t="shared" si="0"/>
        <v>-603</v>
      </c>
    </row>
    <row r="33" spans="4:8" x14ac:dyDescent="0.3">
      <c r="D33">
        <v>29</v>
      </c>
      <c r="E33" s="5">
        <v>8130</v>
      </c>
      <c r="H33" s="5">
        <f t="shared" si="0"/>
        <v>130</v>
      </c>
    </row>
    <row r="34" spans="4:8" x14ac:dyDescent="0.3">
      <c r="D34">
        <v>30</v>
      </c>
      <c r="E34" s="5">
        <v>8240</v>
      </c>
      <c r="H34" s="5">
        <f t="shared" si="0"/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zoomScale="130" zoomScaleNormal="130" workbookViewId="0">
      <selection activeCell="A2" sqref="A2"/>
    </sheetView>
  </sheetViews>
  <sheetFormatPr defaultRowHeight="14.4" x14ac:dyDescent="0.3"/>
  <cols>
    <col min="1" max="1" width="123.77734375" customWidth="1"/>
  </cols>
  <sheetData>
    <row r="1" spans="1:1" ht="18" x14ac:dyDescent="0.35">
      <c r="A1" s="1" t="s">
        <v>31</v>
      </c>
    </row>
    <row r="3" spans="1:1" ht="409.6" x14ac:dyDescent="0.3">
      <c r="A3" s="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OneSample_tTest</vt:lpstr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Gurumoorthy Pattabiraman</dc:creator>
  <cp:lastModifiedBy>Gurumoorthy Pattabiraman</cp:lastModifiedBy>
  <dcterms:created xsi:type="dcterms:W3CDTF">2025-10-07T11:19:05Z</dcterms:created>
  <dcterms:modified xsi:type="dcterms:W3CDTF">2025-10-12T13:32:37Z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944723-1415-41c4-a2ea-256349a9fff8_Enabled">
    <vt:lpwstr>true</vt:lpwstr>
  </property>
  <property fmtid="{D5CDD505-2E9C-101B-9397-08002B2CF9AE}" pid="3" name="MSIP_Label_70944723-1415-41c4-a2ea-256349a9fff8_SetDate">
    <vt:lpwstr>2025-10-09T04:24:48Z</vt:lpwstr>
  </property>
  <property fmtid="{D5CDD505-2E9C-101B-9397-08002B2CF9AE}" pid="4" name="MSIP_Label_70944723-1415-41c4-a2ea-256349a9fff8_Method">
    <vt:lpwstr>Standard</vt:lpwstr>
  </property>
  <property fmtid="{D5CDD505-2E9C-101B-9397-08002B2CF9AE}" pid="5" name="MSIP_Label_70944723-1415-41c4-a2ea-256349a9fff8_Name">
    <vt:lpwstr>defa4170-0d19-0005-0004-bc88714345d2</vt:lpwstr>
  </property>
  <property fmtid="{D5CDD505-2E9C-101B-9397-08002B2CF9AE}" pid="6" name="MSIP_Label_70944723-1415-41c4-a2ea-256349a9fff8_SiteId">
    <vt:lpwstr>70e9ed8e-04d0-480b-a3f1-5925a4dc1002</vt:lpwstr>
  </property>
  <property fmtid="{D5CDD505-2E9C-101B-9397-08002B2CF9AE}" pid="7" name="MSIP_Label_70944723-1415-41c4-a2ea-256349a9fff8_ActionId">
    <vt:lpwstr>ebbcd87a-8ae3-48f6-bd19-cbad79793d2b</vt:lpwstr>
  </property>
  <property fmtid="{D5CDD505-2E9C-101B-9397-08002B2CF9AE}" pid="8" name="MSIP_Label_70944723-1415-41c4-a2ea-256349a9fff8_ContentBits">
    <vt:lpwstr>0</vt:lpwstr>
  </property>
  <property fmtid="{D5CDD505-2E9C-101B-9397-08002B2CF9AE}" pid="9" name="MSIP_Label_70944723-1415-41c4-a2ea-256349a9fff8_Tag">
    <vt:lpwstr>10, 3, 0, 1</vt:lpwstr>
  </property>
</Properties>
</file>