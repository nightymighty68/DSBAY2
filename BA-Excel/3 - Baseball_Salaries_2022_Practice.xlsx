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OneDrive\Documents\DSBACODINGTEST\datasets\"/>
    </mc:Choice>
  </mc:AlternateContent>
  <xr:revisionPtr revIDLastSave="0" documentId="8_{1C8D3EA4-9D52-4F53-8BA5-06C8CC55AB4D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ource" sheetId="32" r:id="rId1"/>
    <sheet name="Data 2022" sheetId="68" r:id="rId2"/>
    <sheet name="Analysis" sheetId="69" r:id="rId3"/>
  </sheets>
  <definedNames>
    <definedName name="_xlchart.v1.0" hidden="1">'Data 2022'!$D$2:$D$842</definedName>
    <definedName name="_xlchart.v1.1" hidden="1">'Data 2022'!$D$2:$D$842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69" l="1"/>
  <c r="F8" i="69"/>
  <c r="H5" i="69"/>
  <c r="B18" i="69"/>
  <c r="B17" i="69"/>
  <c r="B16" i="69"/>
  <c r="B11" i="69"/>
  <c r="B12" i="69" s="1"/>
  <c r="B10" i="69"/>
  <c r="B9" i="69"/>
  <c r="B8" i="69"/>
  <c r="B4" i="69"/>
  <c r="B3" i="69"/>
  <c r="B2" i="69"/>
  <c r="F4" i="69" s="1"/>
  <c r="G3" i="69" l="1"/>
  <c r="G4" i="69"/>
  <c r="H4" i="69" s="1"/>
  <c r="F3" i="69"/>
  <c r="H3" i="69" s="1"/>
  <c r="I3" i="69" s="1"/>
  <c r="F2" i="69"/>
  <c r="G2" i="69"/>
  <c r="I4" i="69" l="1"/>
  <c r="K3" i="69"/>
  <c r="H2" i="69"/>
  <c r="I2" i="69" s="1"/>
</calcChain>
</file>

<file path=xl/sharedStrings.xml><?xml version="1.0" encoding="utf-8"?>
<sst xmlns="http://schemas.openxmlformats.org/spreadsheetml/2006/main" count="2557" uniqueCount="914">
  <si>
    <t>Third Baseman</t>
  </si>
  <si>
    <t>First Baseman</t>
  </si>
  <si>
    <t>Shortstop</t>
  </si>
  <si>
    <t>Catcher</t>
  </si>
  <si>
    <t>Second Baseman</t>
  </si>
  <si>
    <t>David Robertson</t>
  </si>
  <si>
    <t>Designated Hitter</t>
  </si>
  <si>
    <t>Madison Bumgarner</t>
  </si>
  <si>
    <t>Clayton Kershaw</t>
  </si>
  <si>
    <t>Kenley Jansen</t>
  </si>
  <si>
    <t>Andrew McCutchen</t>
  </si>
  <si>
    <t>Charlie Morton</t>
  </si>
  <si>
    <t>Ian Kennedy</t>
  </si>
  <si>
    <t>Craig Kimbrel</t>
  </si>
  <si>
    <t>Freddie Freeman</t>
  </si>
  <si>
    <t>Aroldis Chapman</t>
  </si>
  <si>
    <t>Johnny Cueto</t>
  </si>
  <si>
    <t>Carlos Santana</t>
  </si>
  <si>
    <t>Carlos Carrasco</t>
  </si>
  <si>
    <t>Miguel Cabrera</t>
  </si>
  <si>
    <t>Justin Verlander</t>
  </si>
  <si>
    <t>Max Scherzer</t>
  </si>
  <si>
    <t>Mark Melancon</t>
  </si>
  <si>
    <t>Zack Greinke</t>
  </si>
  <si>
    <t>Kurt Suzuki</t>
  </si>
  <si>
    <t>Oakland Athletics</t>
  </si>
  <si>
    <t>Albert Pujols</t>
  </si>
  <si>
    <t>Adam Wainwright</t>
  </si>
  <si>
    <t>Yadier Molina</t>
  </si>
  <si>
    <t>Tampa Bay Rays</t>
  </si>
  <si>
    <t>David Price</t>
  </si>
  <si>
    <t>Texas Rangers</t>
  </si>
  <si>
    <t>Nelson Cruz</t>
  </si>
  <si>
    <t>Elvis Andrus</t>
  </si>
  <si>
    <t>Toronto Blue Jays</t>
  </si>
  <si>
    <t>Washington Nationals</t>
  </si>
  <si>
    <t>Position</t>
  </si>
  <si>
    <t>Salary</t>
  </si>
  <si>
    <t>Team</t>
  </si>
  <si>
    <t>New York Yankees</t>
  </si>
  <si>
    <t>Boston Red Sox</t>
  </si>
  <si>
    <t>San Francisco Giants</t>
  </si>
  <si>
    <t>Los Angeles Dodgers</t>
  </si>
  <si>
    <t>Pittsburgh Pirates</t>
  </si>
  <si>
    <t>Philadelphia Phillies</t>
  </si>
  <si>
    <t>Arizona Diamondbacks</t>
  </si>
  <si>
    <t>Baltimore Orioles</t>
  </si>
  <si>
    <t>Chicago Cubs</t>
  </si>
  <si>
    <t>Chicago White Sox</t>
  </si>
  <si>
    <t>Cincinnati Reds</t>
  </si>
  <si>
    <t>Atlanta Braves</t>
  </si>
  <si>
    <t>Colorado Rockies</t>
  </si>
  <si>
    <t>Detroit Tigers</t>
  </si>
  <si>
    <t>Miami Marlins</t>
  </si>
  <si>
    <t>Houston Astros</t>
  </si>
  <si>
    <t>Kansas City Royals</t>
  </si>
  <si>
    <t>Los Angeles Angels</t>
  </si>
  <si>
    <t>Milwaukee Brewers</t>
  </si>
  <si>
    <t>Minnesota Twins</t>
  </si>
  <si>
    <t>New York Mets</t>
  </si>
  <si>
    <t>San Diego Padres</t>
  </si>
  <si>
    <t>Seattle Mariners</t>
  </si>
  <si>
    <t>A.J. Pollock</t>
  </si>
  <si>
    <t>Aaron Loup</t>
  </si>
  <si>
    <t>Aaron Sanchez</t>
  </si>
  <si>
    <t>Adam Ottavino</t>
  </si>
  <si>
    <t>Alex Cobb</t>
  </si>
  <si>
    <t>Alex Colome</t>
  </si>
  <si>
    <t>Andrew Chafin</t>
  </si>
  <si>
    <t>Anthony Rendon</t>
  </si>
  <si>
    <t>Anthony Rizzo</t>
  </si>
  <si>
    <t>Avisail Garcia</t>
  </si>
  <si>
    <t>Billy Hamilton</t>
  </si>
  <si>
    <t>Brad Boxberger</t>
  </si>
  <si>
    <t>Brad Hand</t>
  </si>
  <si>
    <t>Brandon Crawford</t>
  </si>
  <si>
    <t>Bryce Harper</t>
  </si>
  <si>
    <t>C.J. Cron</t>
  </si>
  <si>
    <t>Cesar Hernandez</t>
  </si>
  <si>
    <t>Charlie Culberson</t>
  </si>
  <si>
    <t>Chase Anderson</t>
  </si>
  <si>
    <t>Chris Martin</t>
  </si>
  <si>
    <t>Chris Taylor</t>
  </si>
  <si>
    <t>Christian Vazquez</t>
  </si>
  <si>
    <t>Christian Yelich</t>
  </si>
  <si>
    <t>Collin McHugh</t>
  </si>
  <si>
    <t>Corey Dickerson</t>
  </si>
  <si>
    <t>Corey Kluber</t>
  </si>
  <si>
    <t>Craig Stammen</t>
  </si>
  <si>
    <t>Daniel Norris</t>
  </si>
  <si>
    <t>David Peralta</t>
  </si>
  <si>
    <t>David Phelps</t>
  </si>
  <si>
    <t>Drew Smyly</t>
  </si>
  <si>
    <t>Eduardo Escobar</t>
  </si>
  <si>
    <t>Erasmo Ramirez</t>
  </si>
  <si>
    <t>George Springer</t>
  </si>
  <si>
    <t>Gerrit Cole</t>
  </si>
  <si>
    <t>Giancarlo Stanton</t>
  </si>
  <si>
    <t>J.D. Martinez</t>
  </si>
  <si>
    <t>Jacob deGrom</t>
  </si>
  <si>
    <t>Jake Diekman</t>
  </si>
  <si>
    <t>Jake Odorizzi</t>
  </si>
  <si>
    <t>James McCann</t>
  </si>
  <si>
    <t>Jean Segura</t>
  </si>
  <si>
    <t>Joe Kelly</t>
  </si>
  <si>
    <t>Jonathan Schoop</t>
  </si>
  <si>
    <t>Jordan Lyles</t>
  </si>
  <si>
    <t>Jose Abreu</t>
  </si>
  <si>
    <t>Jose Altuve</t>
  </si>
  <si>
    <t>Jose Iglesias</t>
  </si>
  <si>
    <t>Jose Quintana</t>
  </si>
  <si>
    <t>Jose Ramirez</t>
  </si>
  <si>
    <t>Josh Donaldson</t>
  </si>
  <si>
    <t>Josh Harrison</t>
  </si>
  <si>
    <t>Jurickson Profar</t>
  </si>
  <si>
    <t>Justin Turner</t>
  </si>
  <si>
    <t>Kendall Graveman</t>
  </si>
  <si>
    <t>Kevin Gausman</t>
  </si>
  <si>
    <t>Kole Calhoun</t>
  </si>
  <si>
    <t>Kolten Wong</t>
  </si>
  <si>
    <t>Kyle Gibson</t>
  </si>
  <si>
    <t>Lance Lynn</t>
  </si>
  <si>
    <t>Liam Hendriks</t>
  </si>
  <si>
    <t>Luis Garcia</t>
  </si>
  <si>
    <t>Manny Machado</t>
  </si>
  <si>
    <t>Marcell Ozuna</t>
  </si>
  <si>
    <t>Marcus Semien</t>
  </si>
  <si>
    <t>Marcus Stroman</t>
  </si>
  <si>
    <t>Martin Maldonado</t>
  </si>
  <si>
    <t>Martin Perez</t>
  </si>
  <si>
    <t>Marwin Gonzalez</t>
  </si>
  <si>
    <t>Matt Carpenter</t>
  </si>
  <si>
    <t>Matt Duffy</t>
  </si>
  <si>
    <t>Matt Moore</t>
  </si>
  <si>
    <t>Michael Wacha</t>
  </si>
  <si>
    <t>Miguel Castro</t>
  </si>
  <si>
    <t>Mike Trout</t>
  </si>
  <si>
    <t>Mookie Betts</t>
  </si>
  <si>
    <t>Nathan Eovaldi</t>
  </si>
  <si>
    <t>Nolan Arenado</t>
  </si>
  <si>
    <t>Patrick Corbin</t>
  </si>
  <si>
    <t>Paul Goldschmidt</t>
  </si>
  <si>
    <t>Rafael Montero</t>
  </si>
  <si>
    <t>Raisel Iglesias</t>
  </si>
  <si>
    <t>Randal Grichuk</t>
  </si>
  <si>
    <t>Robbie Grossman</t>
  </si>
  <si>
    <t>Robinson Chirinos</t>
  </si>
  <si>
    <t>Rougned Odor</t>
  </si>
  <si>
    <t>Salvador Perez</t>
  </si>
  <si>
    <t>Shelby Miller</t>
  </si>
  <si>
    <t>Starling Marte</t>
  </si>
  <si>
    <t>Stephen Vogt</t>
  </si>
  <si>
    <t>Steve Cishek</t>
  </si>
  <si>
    <t>Taijuan Walker</t>
  </si>
  <si>
    <t>Wil Myers</t>
  </si>
  <si>
    <t>Will Smith</t>
  </si>
  <si>
    <t>Wilmer Flores</t>
  </si>
  <si>
    <t>Xander Bogaerts</t>
  </si>
  <si>
    <t>Yan Gomes</t>
  </si>
  <si>
    <t>Yasmani Grandal</t>
  </si>
  <si>
    <t>Yimi Garcia</t>
  </si>
  <si>
    <t>Yu Darvish</t>
  </si>
  <si>
    <t>Rich Hill</t>
  </si>
  <si>
    <t>Yulieski Gurriel</t>
  </si>
  <si>
    <t>Miles Mikolas</t>
  </si>
  <si>
    <t>Jackie Bradley Jr.</t>
  </si>
  <si>
    <t>Tucker Barnhart</t>
  </si>
  <si>
    <t>Robbie Ray</t>
  </si>
  <si>
    <t>Travis d'Arnaud</t>
  </si>
  <si>
    <t>Noah Syndergaard</t>
  </si>
  <si>
    <t>Eugenio Suarez</t>
  </si>
  <si>
    <t>J.T. Realmuto</t>
  </si>
  <si>
    <t>Shohei Ohtani</t>
  </si>
  <si>
    <t>Aaron Hicks</t>
  </si>
  <si>
    <t>Eduardo Rodriguez</t>
  </si>
  <si>
    <t>Aledmys Diaz</t>
  </si>
  <si>
    <t>Dylan Bundy</t>
  </si>
  <si>
    <t>Enrique Hernandez</t>
  </si>
  <si>
    <t>Ryan Pressly</t>
  </si>
  <si>
    <t>Hunter Strickland</t>
  </si>
  <si>
    <t>Paul DeJong</t>
  </si>
  <si>
    <t>Michael Lorenzen</t>
  </si>
  <si>
    <t>Tommy Kahnle</t>
  </si>
  <si>
    <t>Miguel Rojas</t>
  </si>
  <si>
    <t>Leury Garcia</t>
  </si>
  <si>
    <t>Austin Romine</t>
  </si>
  <si>
    <t>Caleb Smith</t>
  </si>
  <si>
    <t>Elieser Hernandez</t>
  </si>
  <si>
    <t>Carlos Correa</t>
  </si>
  <si>
    <t>Ehire Adrianza</t>
  </si>
  <si>
    <t>Ji-Man Choi</t>
  </si>
  <si>
    <t>Andrew Heaney</t>
  </si>
  <si>
    <t>Guillermo Heredia</t>
  </si>
  <si>
    <t>Javier Baez</t>
  </si>
  <si>
    <t>Trevor May</t>
  </si>
  <si>
    <t>Francisco Lindor</t>
  </si>
  <si>
    <t>Aaron Judge</t>
  </si>
  <si>
    <t>Brandon Drury</t>
  </si>
  <si>
    <t>Gary Sanchez</t>
  </si>
  <si>
    <t>Corey Seager</t>
  </si>
  <si>
    <t>Matt Barnes</t>
  </si>
  <si>
    <t>Luis Severino</t>
  </si>
  <si>
    <t>Kyle Schwarber</t>
  </si>
  <si>
    <t>Willson Contreras</t>
  </si>
  <si>
    <t>Eddie Rosario</t>
  </si>
  <si>
    <t>Alex Bregman</t>
  </si>
  <si>
    <t>Cody Bellinger</t>
  </si>
  <si>
    <t>Hector Neris</t>
  </si>
  <si>
    <t>Jordan Montgomery</t>
  </si>
  <si>
    <t>Trea Turner</t>
  </si>
  <si>
    <t>Steven Matz</t>
  </si>
  <si>
    <t>Michael Fulmer</t>
  </si>
  <si>
    <t>Jose Urena</t>
  </si>
  <si>
    <t>Ryan Tepera</t>
  </si>
  <si>
    <t>Aaron Nola</t>
  </si>
  <si>
    <t>Josh Bell</t>
  </si>
  <si>
    <t>Zach Davies</t>
  </si>
  <si>
    <t>Adam Frazier</t>
  </si>
  <si>
    <t>Jameson Taillon</t>
  </si>
  <si>
    <t>Joe Musgrove</t>
  </si>
  <si>
    <t>Edwin Diaz</t>
  </si>
  <si>
    <t>Tommy Pham</t>
  </si>
  <si>
    <t>Ian Happ</t>
  </si>
  <si>
    <t>Jose Berrios</t>
  </si>
  <si>
    <t>Trevor Williams</t>
  </si>
  <si>
    <t>Whit Merrifield</t>
  </si>
  <si>
    <t>Mychal Givens</t>
  </si>
  <si>
    <t>Dansby Swanson</t>
  </si>
  <si>
    <t>Taylor Rogers</t>
  </si>
  <si>
    <t>Ty Blach</t>
  </si>
  <si>
    <t>Tyler Naquin</t>
  </si>
  <si>
    <t>Rafael Devers</t>
  </si>
  <si>
    <t>Seth Lugo</t>
  </si>
  <si>
    <t>Mitch Haniger</t>
  </si>
  <si>
    <t>Joey Gallo</t>
  </si>
  <si>
    <t>Omar Narvaez</t>
  </si>
  <si>
    <t>Orlando Arcia</t>
  </si>
  <si>
    <t>Elias Diaz</t>
  </si>
  <si>
    <t>Mike Clevinger</t>
  </si>
  <si>
    <t>Luke Maile</t>
  </si>
  <si>
    <t>Blake Snell</t>
  </si>
  <si>
    <t>Ben Gamel</t>
  </si>
  <si>
    <t>Wandy Peralta</t>
  </si>
  <si>
    <t>Kevin Plawecki</t>
  </si>
  <si>
    <t>Jesus Aguilar</t>
  </si>
  <si>
    <t>Max Stassi</t>
  </si>
  <si>
    <t>Manuel Margot</t>
  </si>
  <si>
    <t>Brent Suter</t>
  </si>
  <si>
    <t>Josh Hader</t>
  </si>
  <si>
    <t>Trey Mancini</t>
  </si>
  <si>
    <t>Tyler Glasnow</t>
  </si>
  <si>
    <t>Richard Bleier</t>
  </si>
  <si>
    <t>Brandon Nimmo</t>
  </si>
  <si>
    <t>Dinelson Lamet</t>
  </si>
  <si>
    <t>A.J. Minter</t>
  </si>
  <si>
    <t>Austin Barnes</t>
  </si>
  <si>
    <t>Jarlin Garcia</t>
  </si>
  <si>
    <t>Jon Gray</t>
  </si>
  <si>
    <t>Lucas Giolito</t>
  </si>
  <si>
    <t>Luis Castillo</t>
  </si>
  <si>
    <t>Reynaldo Lopez</t>
  </si>
  <si>
    <t>Ross Stripling</t>
  </si>
  <si>
    <t>Scott Alexander</t>
  </si>
  <si>
    <t>Trevor Gott</t>
  </si>
  <si>
    <t>Tyler Anderson</t>
  </si>
  <si>
    <t>Yoan Moncada</t>
  </si>
  <si>
    <t>Buck Farmer</t>
  </si>
  <si>
    <t>Hunter Renfroe</t>
  </si>
  <si>
    <t>Paul Sewald</t>
  </si>
  <si>
    <t>Austin Hedges</t>
  </si>
  <si>
    <t>Chris Stratton</t>
  </si>
  <si>
    <t>Rhys Hoskins</t>
  </si>
  <si>
    <t>Jose Leclerc</t>
  </si>
  <si>
    <t>Adam Engel</t>
  </si>
  <si>
    <t>Bradley Zimmer</t>
  </si>
  <si>
    <t>Nick Pivetta</t>
  </si>
  <si>
    <t>Luke Weaver</t>
  </si>
  <si>
    <t>Marco Gonzales</t>
  </si>
  <si>
    <t>Austin Pruitt</t>
  </si>
  <si>
    <t>Brandon Woodruff</t>
  </si>
  <si>
    <t>J.D. Davis</t>
  </si>
  <si>
    <t>Chad Pinder</t>
  </si>
  <si>
    <t>German Marquez</t>
  </si>
  <si>
    <t>J.T. Chargois</t>
  </si>
  <si>
    <t>Jharel Cotton</t>
  </si>
  <si>
    <t>Julio Urias</t>
  </si>
  <si>
    <t>Kyle Freeland</t>
  </si>
  <si>
    <t>Sean Manaea</t>
  </si>
  <si>
    <t>Jose Alvarado</t>
  </si>
  <si>
    <t>Aaron Bummer</t>
  </si>
  <si>
    <t>Amed Rosario</t>
  </si>
  <si>
    <t>Giovanny Urshela</t>
  </si>
  <si>
    <t>Jeimer Candelario</t>
  </si>
  <si>
    <t>Hoby Milner</t>
  </si>
  <si>
    <t>Amir Garrett</t>
  </si>
  <si>
    <t>Emilio Pagan</t>
  </si>
  <si>
    <t>Kyle Farmer</t>
  </si>
  <si>
    <t>Matt Chapman</t>
  </si>
  <si>
    <t>Matt Olson</t>
  </si>
  <si>
    <t>Victor Caratini</t>
  </si>
  <si>
    <t>Jorge Alfaro</t>
  </si>
  <si>
    <t>Ryan McMahon</t>
  </si>
  <si>
    <t>Anthony Santander</t>
  </si>
  <si>
    <t>J.P. Crawford</t>
  </si>
  <si>
    <t>Reyes Moronta</t>
  </si>
  <si>
    <t>Adam Cimber</t>
  </si>
  <si>
    <t>Brad Keller</t>
  </si>
  <si>
    <t>Brian Anderson</t>
  </si>
  <si>
    <t>Jack Flaherty</t>
  </si>
  <si>
    <t>Jackson Stephens</t>
  </si>
  <si>
    <t>Jordan Hicks</t>
  </si>
  <si>
    <t>Nestor Cortes</t>
  </si>
  <si>
    <t>Pierce Johnson</t>
  </si>
  <si>
    <t>Tim Hill</t>
  </si>
  <si>
    <t>Victor Reyes</t>
  </si>
  <si>
    <t>Zack Weiss</t>
  </si>
  <si>
    <t>Outfielder</t>
  </si>
  <si>
    <t>Anibal Sanchez</t>
  </si>
  <si>
    <t>Nick Castellanos</t>
  </si>
  <si>
    <t>Michael Taylor</t>
  </si>
  <si>
    <t>Jace Peterson</t>
  </si>
  <si>
    <t>Carlos Perez</t>
  </si>
  <si>
    <t>Derek Law</t>
  </si>
  <si>
    <t>Mark Canha</t>
  </si>
  <si>
    <t>Matt Boyd</t>
  </si>
  <si>
    <t>Christian Bethancourt</t>
  </si>
  <si>
    <t>Chris Bassitt</t>
  </si>
  <si>
    <t>Hanser Alberto</t>
  </si>
  <si>
    <t>Zach Eflin</t>
  </si>
  <si>
    <t>Terrance Gore</t>
  </si>
  <si>
    <t>Hunter Dozier</t>
  </si>
  <si>
    <t>Shawn Armstrong</t>
  </si>
  <si>
    <t>Joely Rodriguez</t>
  </si>
  <si>
    <t>Luis Torrens</t>
  </si>
  <si>
    <t>Miguel Diaz</t>
  </si>
  <si>
    <t>Yandy Diaz</t>
  </si>
  <si>
    <t>Darin Ruf</t>
  </si>
  <si>
    <t>Lance McCullers</t>
  </si>
  <si>
    <t>Vincent Velasquez</t>
  </si>
  <si>
    <t>Curt Casali</t>
  </si>
  <si>
    <t>Tyler Matzek</t>
  </si>
  <si>
    <t>Silvino Bracho</t>
  </si>
  <si>
    <t>Luis Cessa</t>
  </si>
  <si>
    <t>Manny Banuelos</t>
  </si>
  <si>
    <t>Anthony Bass</t>
  </si>
  <si>
    <t>Donovan Solano</t>
  </si>
  <si>
    <t>Nick Martinez</t>
  </si>
  <si>
    <t>Caleb Thielbar</t>
  </si>
  <si>
    <t>Ryan Brasier</t>
  </si>
  <si>
    <t>Lucas Luetge</t>
  </si>
  <si>
    <t>Daniel Bard</t>
  </si>
  <si>
    <t>Matt Reynolds</t>
  </si>
  <si>
    <t>Wade Miley</t>
  </si>
  <si>
    <t>Taylor Widener</t>
  </si>
  <si>
    <t>Dylan Lee</t>
  </si>
  <si>
    <t>Logan Gillaspie</t>
  </si>
  <si>
    <t>D.L. Hall</t>
  </si>
  <si>
    <t>Yennier Cano</t>
  </si>
  <si>
    <t>John Schreiber</t>
  </si>
  <si>
    <t>Kaleb Ort</t>
  </si>
  <si>
    <t>Zack Kelly</t>
  </si>
  <si>
    <t>Darwinzon Hernandez</t>
  </si>
  <si>
    <t>Frank German</t>
  </si>
  <si>
    <t>Manuel Rodriguez</t>
  </si>
  <si>
    <t>Mark Leiter Jr.</t>
  </si>
  <si>
    <t>Erich Uelmen</t>
  </si>
  <si>
    <t>Jimmy Lambert</t>
  </si>
  <si>
    <t>Connor Overton</t>
  </si>
  <si>
    <t>Joel Kuhnel</t>
  </si>
  <si>
    <t>Reiver Sanmartin</t>
  </si>
  <si>
    <t>Ian Gibaut</t>
  </si>
  <si>
    <t>Fernando Cruz</t>
  </si>
  <si>
    <t>Cleveland Guardians</t>
  </si>
  <si>
    <t>Enyel De Los Santos</t>
  </si>
  <si>
    <t>Kirk McCarty</t>
  </si>
  <si>
    <t>Jake Bird</t>
  </si>
  <si>
    <t>Justin Lawrence</t>
  </si>
  <si>
    <t>Gavin Hollowell</t>
  </si>
  <si>
    <t>Noah Davis</t>
  </si>
  <si>
    <t>Will Vest</t>
  </si>
  <si>
    <t>Angel De Jesus</t>
  </si>
  <si>
    <t>Bryan Garcia</t>
  </si>
  <si>
    <t>Hunter Brown</t>
  </si>
  <si>
    <t>Collin Snider</t>
  </si>
  <si>
    <t>Maximo Castillo</t>
  </si>
  <si>
    <t>Andrew Wantz</t>
  </si>
  <si>
    <t>Rob Zastryzny</t>
  </si>
  <si>
    <t>Yency Almonte</t>
  </si>
  <si>
    <t>Tommy Nance</t>
  </si>
  <si>
    <t>Huascar Brazoban</t>
  </si>
  <si>
    <t>Jeff Brigham</t>
  </si>
  <si>
    <t>Andrew Nardi</t>
  </si>
  <si>
    <t>Jake Fishman</t>
  </si>
  <si>
    <t>Bryan Hoeing</t>
  </si>
  <si>
    <t>Jason Alexander</t>
  </si>
  <si>
    <t>Peter Strzelecki</t>
  </si>
  <si>
    <t>Jhoan Duran</t>
  </si>
  <si>
    <t>Griffin Jax</t>
  </si>
  <si>
    <t>Jovani Moran</t>
  </si>
  <si>
    <t>Cole Sands</t>
  </si>
  <si>
    <t>David Peterson</t>
  </si>
  <si>
    <t>Domingo Acevedo</t>
  </si>
  <si>
    <t>Kirby Snead</t>
  </si>
  <si>
    <t>Sam Selman</t>
  </si>
  <si>
    <t>Jared Koenig</t>
  </si>
  <si>
    <t>Norge Ruiz</t>
  </si>
  <si>
    <t>Tyler Cyr</t>
  </si>
  <si>
    <t>Andrew Bellatti</t>
  </si>
  <si>
    <t>Chase De Jong</t>
  </si>
  <si>
    <t>Junior Fernandez</t>
  </si>
  <si>
    <t>Steven Wilson</t>
  </si>
  <si>
    <t>Yunior Marte</t>
  </si>
  <si>
    <t>Alex Young</t>
  </si>
  <si>
    <t>Sean Hjelle</t>
  </si>
  <si>
    <t>Cole Waites</t>
  </si>
  <si>
    <t>Penn Murfee</t>
  </si>
  <si>
    <t>Matt Festa</t>
  </si>
  <si>
    <t>St Louis Cardinals</t>
  </si>
  <si>
    <t>Andre Pallante</t>
  </si>
  <si>
    <t>Zack Thompson</t>
  </si>
  <si>
    <t>Jimmy Yacabonis</t>
  </si>
  <si>
    <t>Jesus Tinoco</t>
  </si>
  <si>
    <t>A.J. Alexy</t>
  </si>
  <si>
    <t>Zach Pop</t>
  </si>
  <si>
    <t>Hunter Harvey</t>
  </si>
  <si>
    <t>C.J. Edwards</t>
  </si>
  <si>
    <t>Jordan Weems</t>
  </si>
  <si>
    <t>Cooper Hummel</t>
  </si>
  <si>
    <t>Kevin Ginkel</t>
  </si>
  <si>
    <t>Jake Hager</t>
  </si>
  <si>
    <t>Buddy Kennedy</t>
  </si>
  <si>
    <t>Stone Garrett</t>
  </si>
  <si>
    <t>Tommy Henry</t>
  </si>
  <si>
    <t>Corbin Carroll</t>
  </si>
  <si>
    <t>Drey Jameson</t>
  </si>
  <si>
    <t>Michael Harris</t>
  </si>
  <si>
    <t>Vaughn Grissom</t>
  </si>
  <si>
    <t>Bryce Elder</t>
  </si>
  <si>
    <t>Kyle Bradish</t>
  </si>
  <si>
    <t>Spenser Watkins</t>
  </si>
  <si>
    <t>Adley Rutschman</t>
  </si>
  <si>
    <t>Tyler Nevin</t>
  </si>
  <si>
    <t>Terrin Vavra</t>
  </si>
  <si>
    <t>Kyle Stowers</t>
  </si>
  <si>
    <t>Gunnar Henderson</t>
  </si>
  <si>
    <t>Brayan Bello</t>
  </si>
  <si>
    <t>Connor Wong</t>
  </si>
  <si>
    <t>Triston Casas</t>
  </si>
  <si>
    <t>Javier Assad</t>
  </si>
  <si>
    <t>Christopher Morel</t>
  </si>
  <si>
    <t>Brandon Hughes</t>
  </si>
  <si>
    <t>P.J. Higgins</t>
  </si>
  <si>
    <t>Nelson Velazquez</t>
  </si>
  <si>
    <t>Adrian Sampson</t>
  </si>
  <si>
    <t>Zach McKinstry</t>
  </si>
  <si>
    <t>Hayden Wesneski</t>
  </si>
  <si>
    <t>Esteban Quiroz</t>
  </si>
  <si>
    <t>Davis Martin</t>
  </si>
  <si>
    <t>Romy Gonzalez</t>
  </si>
  <si>
    <t>Mark Payton</t>
  </si>
  <si>
    <t>Alexis Diaz</t>
  </si>
  <si>
    <t>Hunter Greene</t>
  </si>
  <si>
    <t>Nick Lodolo</t>
  </si>
  <si>
    <t>Graham Ashcraft</t>
  </si>
  <si>
    <t>Alejo Lopez</t>
  </si>
  <si>
    <t>Stuart Fairchild</t>
  </si>
  <si>
    <t>Chuckie Robinson</t>
  </si>
  <si>
    <t>Spencer Steer</t>
  </si>
  <si>
    <t>Mike Siani</t>
  </si>
  <si>
    <t>Steven Kwan</t>
  </si>
  <si>
    <t>Cody Morris</t>
  </si>
  <si>
    <t>Oscar Gonzalez</t>
  </si>
  <si>
    <t>Will Benson</t>
  </si>
  <si>
    <t>Gabriel Arias</t>
  </si>
  <si>
    <t>Will Brennan</t>
  </si>
  <si>
    <t>Bo Naylor</t>
  </si>
  <si>
    <t>Brian Serven</t>
  </si>
  <si>
    <t>Ryan Feltner</t>
  </si>
  <si>
    <t>Elehuris Montero</t>
  </si>
  <si>
    <t>Sean Bouchard</t>
  </si>
  <si>
    <t>Chad Smith</t>
  </si>
  <si>
    <t>Michael Toglia</t>
  </si>
  <si>
    <t>Ezequiel Tovar</t>
  </si>
  <si>
    <t>Spencer Torkelson</t>
  </si>
  <si>
    <t>Kody Clemens</t>
  </si>
  <si>
    <t>Riley Greene</t>
  </si>
  <si>
    <t>Garrett Hill</t>
  </si>
  <si>
    <t>Ryan Kreidler</t>
  </si>
  <si>
    <t>Brendon Davis</t>
  </si>
  <si>
    <t>Jeremy Pena</t>
  </si>
  <si>
    <t>David Hensley</t>
  </si>
  <si>
    <t>Bobby Witt Jr.</t>
  </si>
  <si>
    <t>MJ Melendez</t>
  </si>
  <si>
    <t>Jon Heasley</t>
  </si>
  <si>
    <t>Vinnie Pasquantino</t>
  </si>
  <si>
    <t>Sebastian Rivero</t>
  </si>
  <si>
    <t>Michael Massey</t>
  </si>
  <si>
    <t>Nathan Eaton</t>
  </si>
  <si>
    <t>Drew Waters</t>
  </si>
  <si>
    <t>Luis Rengifo</t>
  </si>
  <si>
    <t>Michael Stefanic</t>
  </si>
  <si>
    <t>Matt Thaiss</t>
  </si>
  <si>
    <t>Livan Soto</t>
  </si>
  <si>
    <t>Logan O'Hoppe</t>
  </si>
  <si>
    <t>Nash Walters</t>
  </si>
  <si>
    <t>Trayce Thompson</t>
  </si>
  <si>
    <t>Miguel Vargas</t>
  </si>
  <si>
    <t>Nick Fortes</t>
  </si>
  <si>
    <t>Braxton Garrett</t>
  </si>
  <si>
    <t>Lewin Diaz</t>
  </si>
  <si>
    <t>J.J. Bleday</t>
  </si>
  <si>
    <t>Charles Leblanc</t>
  </si>
  <si>
    <t>Peyton Burdick</t>
  </si>
  <si>
    <t>Jordan Groshans</t>
  </si>
  <si>
    <t>Garrett Mitchell</t>
  </si>
  <si>
    <t>Jose Miranda</t>
  </si>
  <si>
    <t>Josh Winder</t>
  </si>
  <si>
    <t>Mark Contreras</t>
  </si>
  <si>
    <t>Matt Wallner</t>
  </si>
  <si>
    <t>Louie Varland</t>
  </si>
  <si>
    <t>Mark Vientos</t>
  </si>
  <si>
    <t>Francisco Alvarez</t>
  </si>
  <si>
    <t>Oswaldo Cabrera</t>
  </si>
  <si>
    <t>Oswald Peraza</t>
  </si>
  <si>
    <t>Adam Oller</t>
  </si>
  <si>
    <t>Nick Allen</t>
  </si>
  <si>
    <t>Jonah Bride</t>
  </si>
  <si>
    <t>Dermis Garcia</t>
  </si>
  <si>
    <t>JP Sears</t>
  </si>
  <si>
    <t>Adrian Martinez</t>
  </si>
  <si>
    <t>Shea Langeliers</t>
  </si>
  <si>
    <t>Ken Waldichuk</t>
  </si>
  <si>
    <t>Jordan Diaz</t>
  </si>
  <si>
    <t>Conner Capel</t>
  </si>
  <si>
    <t>Nate Mondou</t>
  </si>
  <si>
    <t>Bryson Stott</t>
  </si>
  <si>
    <t>Nick Maton</t>
  </si>
  <si>
    <t>Darick Hall</t>
  </si>
  <si>
    <t>Dalton Guthrie</t>
  </si>
  <si>
    <t>Tyler Heineman</t>
  </si>
  <si>
    <t>Diego Castillo</t>
  </si>
  <si>
    <t>Jack Suwinski</t>
  </si>
  <si>
    <t>Oneil Cruz</t>
  </si>
  <si>
    <t>Jason Delay</t>
  </si>
  <si>
    <t>Cal Mitchell</t>
  </si>
  <si>
    <t>Tucupita Marcano</t>
  </si>
  <si>
    <t>Rodolfo Castro</t>
  </si>
  <si>
    <t>Johan Oviedo</t>
  </si>
  <si>
    <t>Ji-Hwan Bae</t>
  </si>
  <si>
    <t>Jose Azocar</t>
  </si>
  <si>
    <t>Luis Campusano</t>
  </si>
  <si>
    <t>Brandon Dixon</t>
  </si>
  <si>
    <t>Austin Wynns</t>
  </si>
  <si>
    <t>David Villar</t>
  </si>
  <si>
    <t>Jason Vosler</t>
  </si>
  <si>
    <t>Bryce Johnson</t>
  </si>
  <si>
    <t>Luis Ortiz</t>
  </si>
  <si>
    <t>Ford Proctor</t>
  </si>
  <si>
    <t>Heliot Ramos</t>
  </si>
  <si>
    <t>Julio Rodriguez</t>
  </si>
  <si>
    <t>George Kirby</t>
  </si>
  <si>
    <t>Taylor Trammell</t>
  </si>
  <si>
    <t>Brendan Donovan</t>
  </si>
  <si>
    <t>Juan Yepez</t>
  </si>
  <si>
    <t>Ben DeLuzio</t>
  </si>
  <si>
    <t>Alec Burleson</t>
  </si>
  <si>
    <t>Matthew Liberatore</t>
  </si>
  <si>
    <t>Isaac Paredes</t>
  </si>
  <si>
    <t>Vidal Brujan</t>
  </si>
  <si>
    <t>Rene Pinto</t>
  </si>
  <si>
    <t>Jonathan Aranda</t>
  </si>
  <si>
    <t>Glenn Otto</t>
  </si>
  <si>
    <t>Leodys Taveras</t>
  </si>
  <si>
    <t>Josh Smith</t>
  </si>
  <si>
    <t>Sam Huff</t>
  </si>
  <si>
    <t>Bubba Thompson</t>
  </si>
  <si>
    <t>Mark Mathias</t>
  </si>
  <si>
    <t>Josh Jung</t>
  </si>
  <si>
    <t>Yerry Rodriguez</t>
  </si>
  <si>
    <t>Gabriel Moreno</t>
  </si>
  <si>
    <t>Joey Meneses</t>
  </si>
  <si>
    <t>Tres Barrera</t>
  </si>
  <si>
    <t>Cory Abbott</t>
  </si>
  <si>
    <t>Ildemaro Vargas</t>
  </si>
  <si>
    <t>Alex Call</t>
  </si>
  <si>
    <t>CJ Abrams</t>
  </si>
  <si>
    <t>Israel Pineda</t>
  </si>
  <si>
    <t>Carson Kelly</t>
  </si>
  <si>
    <t>Christian Walker</t>
  </si>
  <si>
    <t>Jordan Luplow</t>
  </si>
  <si>
    <t>Josh Rojas</t>
  </si>
  <si>
    <t>Daulton Varsho</t>
  </si>
  <si>
    <t>Geraldo Perdomo</t>
  </si>
  <si>
    <t>Jake McCarthy</t>
  </si>
  <si>
    <t>Pavin Smith</t>
  </si>
  <si>
    <t>Sergio Alcantara</t>
  </si>
  <si>
    <t>Ronald Acuna Jr.</t>
  </si>
  <si>
    <t>Austin Riley</t>
  </si>
  <si>
    <t>William Contreras</t>
  </si>
  <si>
    <t>Cedric Mullins</t>
  </si>
  <si>
    <t>Austin Hays</t>
  </si>
  <si>
    <t>Ryan Mountcastle</t>
  </si>
  <si>
    <t>Jorge Mateo</t>
  </si>
  <si>
    <t>Ryan McKenna</t>
  </si>
  <si>
    <t>Brett Phillips</t>
  </si>
  <si>
    <t>Anthony Bemboom</t>
  </si>
  <si>
    <t>Alex Verdugo</t>
  </si>
  <si>
    <t>Christian Arroyo</t>
  </si>
  <si>
    <t>Bobby Dalbec</t>
  </si>
  <si>
    <t>Reese McGuire</t>
  </si>
  <si>
    <t>Yu-Cheng Chang</t>
  </si>
  <si>
    <t>Seiya Suzuki</t>
  </si>
  <si>
    <t>David Bote</t>
  </si>
  <si>
    <t>Franmil Reyes</t>
  </si>
  <si>
    <t>Patrick Wisdom</t>
  </si>
  <si>
    <t>Nico Hoerner</t>
  </si>
  <si>
    <t>Alfonso Rivas</t>
  </si>
  <si>
    <t>Eloy Jimenez</t>
  </si>
  <si>
    <t>Andrew Vaughn</t>
  </si>
  <si>
    <t>Gavin Sheets</t>
  </si>
  <si>
    <t>Jonathan India</t>
  </si>
  <si>
    <t>Jake Fraley</t>
  </si>
  <si>
    <t>Aristides Aquino</t>
  </si>
  <si>
    <t>Jose Barrero</t>
  </si>
  <si>
    <t>Emmanuel Clase</t>
  </si>
  <si>
    <t>Myles Straw</t>
  </si>
  <si>
    <t>Josh Naylor</t>
  </si>
  <si>
    <t>Andres Gimenez</t>
  </si>
  <si>
    <t>Owen Miller</t>
  </si>
  <si>
    <t>Garrett Hampson</t>
  </si>
  <si>
    <t>Brendan Rodgers</t>
  </si>
  <si>
    <t>Yonathan Daza</t>
  </si>
  <si>
    <t>Alan Trejo</t>
  </si>
  <si>
    <t>Harold Castro</t>
  </si>
  <si>
    <t>Gregory Soto</t>
  </si>
  <si>
    <t>Eric Haase</t>
  </si>
  <si>
    <t>Alex Lange</t>
  </si>
  <si>
    <t>Akil Baddoo</t>
  </si>
  <si>
    <t>Yordan Alvarez</t>
  </si>
  <si>
    <t>Kyle Tucker</t>
  </si>
  <si>
    <t>Chas McCormick</t>
  </si>
  <si>
    <t>Jake Meyers</t>
  </si>
  <si>
    <t>Mauricio Dubon</t>
  </si>
  <si>
    <t>Nicky Lopez</t>
  </si>
  <si>
    <t>Scott Barlow</t>
  </si>
  <si>
    <t>Ryan O'Hearn</t>
  </si>
  <si>
    <t>Edward Olivares</t>
  </si>
  <si>
    <t>Kyle Isbel</t>
  </si>
  <si>
    <t>David Fletcher</t>
  </si>
  <si>
    <t>Taylor Ward</t>
  </si>
  <si>
    <t>Jo Adell</t>
  </si>
  <si>
    <t>Max Muncy</t>
  </si>
  <si>
    <t>Gavin Lux</t>
  </si>
  <si>
    <t>Joe Wendle</t>
  </si>
  <si>
    <t>Dylan Floro</t>
  </si>
  <si>
    <t>Jacob Stallings</t>
  </si>
  <si>
    <t>Jon Berti</t>
  </si>
  <si>
    <t>Bryan De La Cruz</t>
  </si>
  <si>
    <t>Jesus Sanchez</t>
  </si>
  <si>
    <t>Willy Adames</t>
  </si>
  <si>
    <t>Luis Urias</t>
  </si>
  <si>
    <t>Rowdy Tellez</t>
  </si>
  <si>
    <t>Devin Williams</t>
  </si>
  <si>
    <t>Tyrone Taylor</t>
  </si>
  <si>
    <t>Michael Brosseau</t>
  </si>
  <si>
    <t>Keston Hiura</t>
  </si>
  <si>
    <t>Luis Arraez</t>
  </si>
  <si>
    <t>Ryan Jeffers</t>
  </si>
  <si>
    <t>Nick Gordon</t>
  </si>
  <si>
    <t>Gilberto Celestino</t>
  </si>
  <si>
    <t>Jorge Lopez</t>
  </si>
  <si>
    <t>Pete Alonso</t>
  </si>
  <si>
    <t>Jeff McNeil</t>
  </si>
  <si>
    <t>Tomas Nido</t>
  </si>
  <si>
    <t>Luis Guillorme</t>
  </si>
  <si>
    <t>Dan Vogelbach</t>
  </si>
  <si>
    <t>D.J. LeMahieu</t>
  </si>
  <si>
    <t>Gleyber Torres</t>
  </si>
  <si>
    <t>Isiah Kiner-Falefa</t>
  </si>
  <si>
    <t>Harrison Bader</t>
  </si>
  <si>
    <t>Clay Holmes</t>
  </si>
  <si>
    <t>Kyle Higashioka</t>
  </si>
  <si>
    <t>Jose Trevino</t>
  </si>
  <si>
    <t>Tony Kemp</t>
  </si>
  <si>
    <t>Sean Murphy</t>
  </si>
  <si>
    <t>Seth Brown</t>
  </si>
  <si>
    <t>Cristian Pache</t>
  </si>
  <si>
    <t>Ernie Clement</t>
  </si>
  <si>
    <t>Seranthony Dominguez</t>
  </si>
  <si>
    <t>Alec Bohm</t>
  </si>
  <si>
    <t>Garrett Stubbs</t>
  </si>
  <si>
    <t>Matt Vierling</t>
  </si>
  <si>
    <t>Edmundo Sosa</t>
  </si>
  <si>
    <t>Brandon Marsh</t>
  </si>
  <si>
    <t>Ke'Bryan Hayes</t>
  </si>
  <si>
    <t>Bryan Reynolds</t>
  </si>
  <si>
    <t>Kevin Newman</t>
  </si>
  <si>
    <t>David Bednar</t>
  </si>
  <si>
    <t>Miguel Andujar</t>
  </si>
  <si>
    <t>Ha-seong Kim</t>
  </si>
  <si>
    <t>Juan Soto</t>
  </si>
  <si>
    <t>Jake Cronenworth</t>
  </si>
  <si>
    <t>Trent Grisham</t>
  </si>
  <si>
    <t>Austin Nola</t>
  </si>
  <si>
    <t>Mike Yastrzemski</t>
  </si>
  <si>
    <t>Austin Slater</t>
  </si>
  <si>
    <t>LaMonte Wade Jr.</t>
  </si>
  <si>
    <t>Thairo Estrada</t>
  </si>
  <si>
    <t>Camilo Doval</t>
  </si>
  <si>
    <t>Joey Bart</t>
  </si>
  <si>
    <t>Dylan Moore</t>
  </si>
  <si>
    <t>Ty France</t>
  </si>
  <si>
    <t>Cal Raleigh</t>
  </si>
  <si>
    <t>Abraham Toro</t>
  </si>
  <si>
    <t>Jarred Kelenic</t>
  </si>
  <si>
    <t>Tommy Edman</t>
  </si>
  <si>
    <t>Ryan Helsley</t>
  </si>
  <si>
    <t>Andrew Knizner</t>
  </si>
  <si>
    <t>Dylan Carlson</t>
  </si>
  <si>
    <t>Lars Nootbaar</t>
  </si>
  <si>
    <t>Francisco Mejia</t>
  </si>
  <si>
    <t>Wander Franco</t>
  </si>
  <si>
    <t>Harold Ramirez</t>
  </si>
  <si>
    <t>Randy Arozarena</t>
  </si>
  <si>
    <t>Pete Fairbanks</t>
  </si>
  <si>
    <t>Taylor Walls</t>
  </si>
  <si>
    <t>Jose Siri</t>
  </si>
  <si>
    <t>Nate Lowe</t>
  </si>
  <si>
    <t>Adolis Garcia</t>
  </si>
  <si>
    <t>Jonah Heim</t>
  </si>
  <si>
    <t>Teoscar Hernandez</t>
  </si>
  <si>
    <t>Vladimir Guerrero Jr.</t>
  </si>
  <si>
    <t>Raimel Tapia</t>
  </si>
  <si>
    <t>Cavan Biggio</t>
  </si>
  <si>
    <t>Danny Jansen</t>
  </si>
  <si>
    <t>Bo Bichette</t>
  </si>
  <si>
    <t>Santiago Espinal</t>
  </si>
  <si>
    <t>Alejandro Kirk</t>
  </si>
  <si>
    <t>Jordan Romano</t>
  </si>
  <si>
    <t>Otto Lopez</t>
  </si>
  <si>
    <t>Luke Voit</t>
  </si>
  <si>
    <t>Victor Robles</t>
  </si>
  <si>
    <t>Kyle Finnegan</t>
  </si>
  <si>
    <t>Lane Thomas</t>
  </si>
  <si>
    <t>Riley Adams</t>
  </si>
  <si>
    <t>Joshua Palacios</t>
  </si>
  <si>
    <t>Merrill Kelly</t>
  </si>
  <si>
    <t>Zac Gallen</t>
  </si>
  <si>
    <t>Max Fried</t>
  </si>
  <si>
    <t>Kyle Wright</t>
  </si>
  <si>
    <t>Dean Kremer</t>
  </si>
  <si>
    <t>Austin Voth</t>
  </si>
  <si>
    <t>Keegan Thompson</t>
  </si>
  <si>
    <t>Dylan Cease</t>
  </si>
  <si>
    <t>Shane Bieber</t>
  </si>
  <si>
    <t>Cal Quantrill</t>
  </si>
  <si>
    <t>Zach Plesac</t>
  </si>
  <si>
    <t>Aaron Civale</t>
  </si>
  <si>
    <t>Triston McKenzie</t>
  </si>
  <si>
    <t>Tyler Alexander</t>
  </si>
  <si>
    <t>Framber Valdez</t>
  </si>
  <si>
    <t>Cristian Javier</t>
  </si>
  <si>
    <t>Jose Urquidy</t>
  </si>
  <si>
    <t>Daniel Lynch</t>
  </si>
  <si>
    <t>Brady Singer</t>
  </si>
  <si>
    <t>Kris Bubic</t>
  </si>
  <si>
    <t>Patrick Sandoval</t>
  </si>
  <si>
    <t>Reid Detmers</t>
  </si>
  <si>
    <t>Jose Suarez</t>
  </si>
  <si>
    <t>Tucker Davidson</t>
  </si>
  <si>
    <t>Anthony Gonsolin</t>
  </si>
  <si>
    <t>Sandy Alcantara</t>
  </si>
  <si>
    <t>Pablo Lopez</t>
  </si>
  <si>
    <t>Jesus Luzardo</t>
  </si>
  <si>
    <t>Corbin Burnes</t>
  </si>
  <si>
    <t>Freddy Peralta</t>
  </si>
  <si>
    <t>Eric Lauer</t>
  </si>
  <si>
    <t>Aaron Ashby</t>
  </si>
  <si>
    <t>Bailey Ober</t>
  </si>
  <si>
    <t>Joe Ryan</t>
  </si>
  <si>
    <t>Domingo German</t>
  </si>
  <si>
    <t>Cole Irvin</t>
  </si>
  <si>
    <t>James Kaprielian</t>
  </si>
  <si>
    <t>Zack Wheeler</t>
  </si>
  <si>
    <t>Ranger Suarez</t>
  </si>
  <si>
    <t>Bailey Falter</t>
  </si>
  <si>
    <t>JT Brubaker</t>
  </si>
  <si>
    <t>Mitch Keller</t>
  </si>
  <si>
    <t>Bryse Wilson</t>
  </si>
  <si>
    <t>Logan Gilbert</t>
  </si>
  <si>
    <t>Jeffrey Springs</t>
  </si>
  <si>
    <t>Drew Rasmussen</t>
  </si>
  <si>
    <t>Shane McClanahan</t>
  </si>
  <si>
    <t>Alek Manoah</t>
  </si>
  <si>
    <t>Erick Fedde</t>
  </si>
  <si>
    <t>Paolo Espino</t>
  </si>
  <si>
    <t>Josiah Gray</t>
  </si>
  <si>
    <t>Joe Mantiply</t>
  </si>
  <si>
    <t>Sean Poppen</t>
  </si>
  <si>
    <t>Dillon Tate</t>
  </si>
  <si>
    <t>Cionel Perez</t>
  </si>
  <si>
    <t>Keegan Akin</t>
  </si>
  <si>
    <t>Bryan Baker</t>
  </si>
  <si>
    <t>Mike Baumann</t>
  </si>
  <si>
    <t>Matthew Strahm</t>
  </si>
  <si>
    <t>Rowan Wick</t>
  </si>
  <si>
    <t>Adbert Alzolay</t>
  </si>
  <si>
    <t>Michael Rucker</t>
  </si>
  <si>
    <t>Jose Ruiz</t>
  </si>
  <si>
    <t>James Karinchak</t>
  </si>
  <si>
    <t>Trevor Stephan</t>
  </si>
  <si>
    <t>Sam Hentges</t>
  </si>
  <si>
    <t>Eli Morgan</t>
  </si>
  <si>
    <t>Nick Sandlin</t>
  </si>
  <si>
    <t>Austin Gomber</t>
  </si>
  <si>
    <t>Jose Cisnero</t>
  </si>
  <si>
    <t>Jason Foley</t>
  </si>
  <si>
    <t>Ryne Stanek</t>
  </si>
  <si>
    <t>Phil Maton</t>
  </si>
  <si>
    <t>Bryan Abreu</t>
  </si>
  <si>
    <t>Dylan Coleman</t>
  </si>
  <si>
    <t>Carlos Hernandez</t>
  </si>
  <si>
    <t>Anthony Misiewicz</t>
  </si>
  <si>
    <t>Jaime Barria</t>
  </si>
  <si>
    <t>Jimmy Herget</t>
  </si>
  <si>
    <t>Jose Quijada</t>
  </si>
  <si>
    <t>Brusdar Graterol</t>
  </si>
  <si>
    <t>Evan Phillips</t>
  </si>
  <si>
    <t>Alex Vesia</t>
  </si>
  <si>
    <t>Caleb Ferguson</t>
  </si>
  <si>
    <t>Tanner Scott</t>
  </si>
  <si>
    <t>Jake Cousins</t>
  </si>
  <si>
    <t>Drew Smith</t>
  </si>
  <si>
    <t>Tylor Megill</t>
  </si>
  <si>
    <t>Jonathan Loaisiga</t>
  </si>
  <si>
    <t>Lou Trivino</t>
  </si>
  <si>
    <t>Albert Abreu</t>
  </si>
  <si>
    <t>Clarke Schmidt</t>
  </si>
  <si>
    <t>Scott Effross</t>
  </si>
  <si>
    <t>A.J. Puk</t>
  </si>
  <si>
    <t>Connor Brogdon</t>
  </si>
  <si>
    <t>Duane Underwood</t>
  </si>
  <si>
    <t>Zach Thompson</t>
  </si>
  <si>
    <t>Nick Mears</t>
  </si>
  <si>
    <t>Robert Stephenson</t>
  </si>
  <si>
    <t>Miguel Yajure</t>
  </si>
  <si>
    <t>Yohan Ramirez</t>
  </si>
  <si>
    <t>Robert Suarez</t>
  </si>
  <si>
    <t>Adrian Morejon</t>
  </si>
  <si>
    <t>Nabil Crismatt</t>
  </si>
  <si>
    <t>John Brebbia</t>
  </si>
  <si>
    <t>Tyler Rogers</t>
  </si>
  <si>
    <t>Andrew Vasquez</t>
  </si>
  <si>
    <t>Chris Flexen</t>
  </si>
  <si>
    <t>Andres Munoz</t>
  </si>
  <si>
    <t>Erik Swanson</t>
  </si>
  <si>
    <t>Matt Brash</t>
  </si>
  <si>
    <t>Giovanny Gallegos</t>
  </si>
  <si>
    <t>Jake Woodford</t>
  </si>
  <si>
    <t>Brooks Raley</t>
  </si>
  <si>
    <t>Jason Adam</t>
  </si>
  <si>
    <t>Jalen Beeks</t>
  </si>
  <si>
    <t>Josh Fleming</t>
  </si>
  <si>
    <t>Javier Guerra</t>
  </si>
  <si>
    <t>Garrett Cleavinger</t>
  </si>
  <si>
    <t>Taylor Hearn</t>
  </si>
  <si>
    <t>Jonathan Hernandez</t>
  </si>
  <si>
    <t>Dennis Santana</t>
  </si>
  <si>
    <t>Brock Burke</t>
  </si>
  <si>
    <t>Joe Barlow</t>
  </si>
  <si>
    <t>John King</t>
  </si>
  <si>
    <t>Yusei Kikuchi</t>
  </si>
  <si>
    <t>Tim Mayza</t>
  </si>
  <si>
    <t>Trevor Richards</t>
  </si>
  <si>
    <t>Trent Thornton</t>
  </si>
  <si>
    <t>Andres Machado</t>
  </si>
  <si>
    <t>Mason Thompson</t>
  </si>
  <si>
    <t>Player</t>
  </si>
  <si>
    <t>Starting Pitcher</t>
  </si>
  <si>
    <t>Center Fielder</t>
  </si>
  <si>
    <t>Relief Pitcher</t>
  </si>
  <si>
    <t>Right Fielder</t>
  </si>
  <si>
    <t>Left Fielder</t>
  </si>
  <si>
    <t>Relief Pitcher/Closer</t>
  </si>
  <si>
    <t>Measures of Central Tendencies</t>
  </si>
  <si>
    <t>Mean Salary</t>
  </si>
  <si>
    <t>Median Salary</t>
  </si>
  <si>
    <t>Mode Salary</t>
  </si>
  <si>
    <t>Percentiles &amp; Quartiles</t>
  </si>
  <si>
    <t>Minimum Salary</t>
  </si>
  <si>
    <t>Maximum Salary</t>
  </si>
  <si>
    <t>Q1</t>
  </si>
  <si>
    <t>Q2</t>
  </si>
  <si>
    <t>Q3</t>
  </si>
  <si>
    <t>Measures of Variability</t>
  </si>
  <si>
    <t>Range</t>
  </si>
  <si>
    <t>Variance(sample)</t>
  </si>
  <si>
    <t>Standard Deviation(sample)</t>
  </si>
  <si>
    <t>Empirical Rule Check</t>
  </si>
  <si>
    <t>Mean +/- 1 SD</t>
  </si>
  <si>
    <t>Mean +/- 2 SD</t>
  </si>
  <si>
    <t>Mean +/- 3 SD</t>
  </si>
  <si>
    <t>Lower Limit</t>
  </si>
  <si>
    <t>Upper Limit</t>
  </si>
  <si>
    <t>Count of Salaries</t>
  </si>
  <si>
    <t>Shape of Distribution</t>
  </si>
  <si>
    <t>Skewness</t>
  </si>
  <si>
    <t>Kurtosis</t>
  </si>
  <si>
    <t>Visualizations</t>
  </si>
  <si>
    <t>Histogram</t>
  </si>
  <si>
    <t>Boxplot</t>
  </si>
  <si>
    <t>Salaries outside 3 SDs</t>
  </si>
  <si>
    <t xml:space="preserve"> Salaries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</si>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</sst>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right"/>
    </xf>
    <xf numFmtId="3" fontId="0" fillId="0" borderId="0" xfId="0" applyNumberFormat="1"/>
    <xf numFmtId="0" fontId="1" fillId="0" borderId="0" xfId="1"/>
    <xf numFmtId="0" fontId="2" fillId="0" borderId="1" xfId="0" applyFont="1" applyBorder="1"/>
    <xf numFmtId="0" fontId="0" fillId="0" borderId="1" xfId="0" applyBorder="1"/>
    <xf numFmtId="3" fontId="0" fillId="0" borderId="1" xfId="0" applyNumberFormat="1" applyBorder="1"/>
    <xf numFmtId="9" fontId="0" fillId="0" borderId="1" xfId="3" applyFont="1" applyBorder="1"/>
    <xf numFmtId="0" fontId="0" fillId="0" borderId="1" xfId="2" applyNumberFormat="1" applyFont="1" applyBorder="1"/>
    <xf numFmtId="1" fontId="0" fillId="0" borderId="1" xfId="0" applyNumberFormat="1" applyBorder="1"/>
    <xf numFmtId="1" fontId="0" fillId="0" borderId="0" xfId="0" applyNumberFormat="1"/>
    <xf numFmtId="1" fontId="0" fillId="0" borderId="1" xfId="2" applyNumberFormat="1" applyFont="1" applyBorder="1"/>
    <xf numFmtId="0" fontId="0" fillId="0" borderId="2" xfId="0" applyBorder="1"/>
  </cellXfs>
  <cellStyles count="4">
    <cellStyle name="Comma" xfId="2" builtinId="3"/>
    <cellStyle name="Hyperlink" xfId="1" builtinId="8"/>
    <cellStyle name="Normal" xfId="0" builtinId="0" customBuiltin="1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2022'!$D$1</c:f>
              <c:strCache>
                <c:ptCount val="1"/>
                <c:pt idx="0">
                  <c:v>Salary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'Data 2022'!$D$2:$D$842</c:f>
              <c:numCache>
                <c:formatCode>#,##0</c:formatCode>
                <c:ptCount val="841"/>
                <c:pt idx="0">
                  <c:v>43333333</c:v>
                </c:pt>
                <c:pt idx="1">
                  <c:v>36000000</c:v>
                </c:pt>
                <c:pt idx="2">
                  <c:v>36000000</c:v>
                </c:pt>
                <c:pt idx="3">
                  <c:v>35450000</c:v>
                </c:pt>
                <c:pt idx="4">
                  <c:v>35100000</c:v>
                </c:pt>
                <c:pt idx="5">
                  <c:v>35000000</c:v>
                </c:pt>
                <c:pt idx="6">
                  <c:v>33500000</c:v>
                </c:pt>
                <c:pt idx="7">
                  <c:v>32500000</c:v>
                </c:pt>
                <c:pt idx="8">
                  <c:v>32000000</c:v>
                </c:pt>
                <c:pt idx="9">
                  <c:v>32000000</c:v>
                </c:pt>
                <c:pt idx="10">
                  <c:v>32000000</c:v>
                </c:pt>
                <c:pt idx="11">
                  <c:v>30000000</c:v>
                </c:pt>
                <c:pt idx="12">
                  <c:v>29000000</c:v>
                </c:pt>
                <c:pt idx="13">
                  <c:v>28000000</c:v>
                </c:pt>
                <c:pt idx="14">
                  <c:v>27000000</c:v>
                </c:pt>
                <c:pt idx="15">
                  <c:v>26000000</c:v>
                </c:pt>
                <c:pt idx="16">
                  <c:v>26000000</c:v>
                </c:pt>
                <c:pt idx="17">
                  <c:v>26000000</c:v>
                </c:pt>
                <c:pt idx="18">
                  <c:v>26000000</c:v>
                </c:pt>
                <c:pt idx="19">
                  <c:v>25000000</c:v>
                </c:pt>
                <c:pt idx="20">
                  <c:v>25000000</c:v>
                </c:pt>
                <c:pt idx="21">
                  <c:v>25000000</c:v>
                </c:pt>
                <c:pt idx="22">
                  <c:v>23875000</c:v>
                </c:pt>
                <c:pt idx="23">
                  <c:v>23000000</c:v>
                </c:pt>
                <c:pt idx="24">
                  <c:v>23000000</c:v>
                </c:pt>
                <c:pt idx="25">
                  <c:v>22000000</c:v>
                </c:pt>
                <c:pt idx="26">
                  <c:v>22000000</c:v>
                </c:pt>
                <c:pt idx="27">
                  <c:v>21000000</c:v>
                </c:pt>
                <c:pt idx="28">
                  <c:v>21000000</c:v>
                </c:pt>
                <c:pt idx="29">
                  <c:v>21000000</c:v>
                </c:pt>
                <c:pt idx="30">
                  <c:v>21000000</c:v>
                </c:pt>
                <c:pt idx="31">
                  <c:v>21000000</c:v>
                </c:pt>
                <c:pt idx="32">
                  <c:v>20000000</c:v>
                </c:pt>
                <c:pt idx="33">
                  <c:v>20000000</c:v>
                </c:pt>
                <c:pt idx="34">
                  <c:v>20000000</c:v>
                </c:pt>
                <c:pt idx="35">
                  <c:v>20000000</c:v>
                </c:pt>
                <c:pt idx="36">
                  <c:v>20000000</c:v>
                </c:pt>
                <c:pt idx="37">
                  <c:v>20000000</c:v>
                </c:pt>
                <c:pt idx="38">
                  <c:v>19350000</c:v>
                </c:pt>
                <c:pt idx="39">
                  <c:v>19000000</c:v>
                </c:pt>
                <c:pt idx="40">
                  <c:v>19000000</c:v>
                </c:pt>
                <c:pt idx="41">
                  <c:v>18500000</c:v>
                </c:pt>
                <c:pt idx="42">
                  <c:v>18250000</c:v>
                </c:pt>
                <c:pt idx="43">
                  <c:v>18000000</c:v>
                </c:pt>
                <c:pt idx="44">
                  <c:v>18000000</c:v>
                </c:pt>
                <c:pt idx="45">
                  <c:v>18000000</c:v>
                </c:pt>
                <c:pt idx="46">
                  <c:v>17500000</c:v>
                </c:pt>
                <c:pt idx="47">
                  <c:v>17500000</c:v>
                </c:pt>
                <c:pt idx="48">
                  <c:v>17100000</c:v>
                </c:pt>
                <c:pt idx="49">
                  <c:v>17000000</c:v>
                </c:pt>
                <c:pt idx="50">
                  <c:v>17000000</c:v>
                </c:pt>
                <c:pt idx="51">
                  <c:v>16000000</c:v>
                </c:pt>
                <c:pt idx="52">
                  <c:v>16000000</c:v>
                </c:pt>
                <c:pt idx="53">
                  <c:v>16000000</c:v>
                </c:pt>
                <c:pt idx="54">
                  <c:v>16000000</c:v>
                </c:pt>
                <c:pt idx="55">
                  <c:v>16000000</c:v>
                </c:pt>
                <c:pt idx="56">
                  <c:v>16000000</c:v>
                </c:pt>
                <c:pt idx="57">
                  <c:v>16000000</c:v>
                </c:pt>
                <c:pt idx="58">
                  <c:v>15750000</c:v>
                </c:pt>
                <c:pt idx="59">
                  <c:v>15250000</c:v>
                </c:pt>
                <c:pt idx="60">
                  <c:v>15000000</c:v>
                </c:pt>
                <c:pt idx="61">
                  <c:v>15000000</c:v>
                </c:pt>
                <c:pt idx="62">
                  <c:v>15000000</c:v>
                </c:pt>
                <c:pt idx="63">
                  <c:v>15000000</c:v>
                </c:pt>
                <c:pt idx="64">
                  <c:v>15000000</c:v>
                </c:pt>
                <c:pt idx="65">
                  <c:v>15000000</c:v>
                </c:pt>
                <c:pt idx="66">
                  <c:v>14500000</c:v>
                </c:pt>
                <c:pt idx="67">
                  <c:v>14500000</c:v>
                </c:pt>
                <c:pt idx="68">
                  <c:v>14250000</c:v>
                </c:pt>
                <c:pt idx="69">
                  <c:v>14000000</c:v>
                </c:pt>
                <c:pt idx="70">
                  <c:v>13000000</c:v>
                </c:pt>
                <c:pt idx="71">
                  <c:v>13000000</c:v>
                </c:pt>
                <c:pt idx="72">
                  <c:v>13000000</c:v>
                </c:pt>
                <c:pt idx="73">
                  <c:v>13000000</c:v>
                </c:pt>
                <c:pt idx="74">
                  <c:v>12500000</c:v>
                </c:pt>
                <c:pt idx="75">
                  <c:v>12000000</c:v>
                </c:pt>
                <c:pt idx="76">
                  <c:v>12000000</c:v>
                </c:pt>
                <c:pt idx="77">
                  <c:v>12000000</c:v>
                </c:pt>
                <c:pt idx="78">
                  <c:v>12000000</c:v>
                </c:pt>
                <c:pt idx="79">
                  <c:v>12000000</c:v>
                </c:pt>
                <c:pt idx="80">
                  <c:v>11500000</c:v>
                </c:pt>
                <c:pt idx="81">
                  <c:v>11500000</c:v>
                </c:pt>
                <c:pt idx="82">
                  <c:v>11200000</c:v>
                </c:pt>
                <c:pt idx="83">
                  <c:v>11000000</c:v>
                </c:pt>
                <c:pt idx="84">
                  <c:v>11000000</c:v>
                </c:pt>
                <c:pt idx="85">
                  <c:v>11000000</c:v>
                </c:pt>
                <c:pt idx="86">
                  <c:v>11000000</c:v>
                </c:pt>
                <c:pt idx="87">
                  <c:v>11000000</c:v>
                </c:pt>
                <c:pt idx="88">
                  <c:v>10650000</c:v>
                </c:pt>
                <c:pt idx="89">
                  <c:v>10500000</c:v>
                </c:pt>
                <c:pt idx="90">
                  <c:v>10500000</c:v>
                </c:pt>
                <c:pt idx="91">
                  <c:v>10275000</c:v>
                </c:pt>
                <c:pt idx="92">
                  <c:v>10200000</c:v>
                </c:pt>
                <c:pt idx="93">
                  <c:v>10000000</c:v>
                </c:pt>
                <c:pt idx="94">
                  <c:v>10000000</c:v>
                </c:pt>
                <c:pt idx="95">
                  <c:v>10000000</c:v>
                </c:pt>
                <c:pt idx="96">
                  <c:v>10000000</c:v>
                </c:pt>
                <c:pt idx="97">
                  <c:v>10000000</c:v>
                </c:pt>
                <c:pt idx="98">
                  <c:v>10000000</c:v>
                </c:pt>
                <c:pt idx="99">
                  <c:v>10000000</c:v>
                </c:pt>
                <c:pt idx="100">
                  <c:v>10000000</c:v>
                </c:pt>
                <c:pt idx="101">
                  <c:v>10000000</c:v>
                </c:pt>
                <c:pt idx="102">
                  <c:v>9750000</c:v>
                </c:pt>
                <c:pt idx="103">
                  <c:v>9625000</c:v>
                </c:pt>
                <c:pt idx="104">
                  <c:v>9333333</c:v>
                </c:pt>
                <c:pt idx="105">
                  <c:v>9000000</c:v>
                </c:pt>
                <c:pt idx="106">
                  <c:v>9000000</c:v>
                </c:pt>
                <c:pt idx="107">
                  <c:v>9000000</c:v>
                </c:pt>
                <c:pt idx="108">
                  <c:v>8650000</c:v>
                </c:pt>
                <c:pt idx="109">
                  <c:v>8625000</c:v>
                </c:pt>
                <c:pt idx="110">
                  <c:v>8500000</c:v>
                </c:pt>
                <c:pt idx="111">
                  <c:v>8500000</c:v>
                </c:pt>
                <c:pt idx="112">
                  <c:v>8000000</c:v>
                </c:pt>
                <c:pt idx="113">
                  <c:v>8000000</c:v>
                </c:pt>
                <c:pt idx="114">
                  <c:v>8000000</c:v>
                </c:pt>
                <c:pt idx="115">
                  <c:v>8000000</c:v>
                </c:pt>
                <c:pt idx="116">
                  <c:v>8000000</c:v>
                </c:pt>
                <c:pt idx="117">
                  <c:v>8000000</c:v>
                </c:pt>
                <c:pt idx="118">
                  <c:v>8000000</c:v>
                </c:pt>
                <c:pt idx="119">
                  <c:v>8000000</c:v>
                </c:pt>
                <c:pt idx="120">
                  <c:v>8000000</c:v>
                </c:pt>
                <c:pt idx="121">
                  <c:v>8000000</c:v>
                </c:pt>
                <c:pt idx="122">
                  <c:v>8000000</c:v>
                </c:pt>
                <c:pt idx="123">
                  <c:v>8000000</c:v>
                </c:pt>
                <c:pt idx="124">
                  <c:v>8000000</c:v>
                </c:pt>
                <c:pt idx="125">
                  <c:v>7900000</c:v>
                </c:pt>
                <c:pt idx="126">
                  <c:v>7750000</c:v>
                </c:pt>
                <c:pt idx="127">
                  <c:v>7750000</c:v>
                </c:pt>
                <c:pt idx="128">
                  <c:v>7750000</c:v>
                </c:pt>
                <c:pt idx="129">
                  <c:v>7700000</c:v>
                </c:pt>
                <c:pt idx="130">
                  <c:v>7650000</c:v>
                </c:pt>
                <c:pt idx="131">
                  <c:v>7500000</c:v>
                </c:pt>
                <c:pt idx="132">
                  <c:v>7500000</c:v>
                </c:pt>
                <c:pt idx="133">
                  <c:v>7500000</c:v>
                </c:pt>
                <c:pt idx="134">
                  <c:v>7450000</c:v>
                </c:pt>
                <c:pt idx="135">
                  <c:v>7400000</c:v>
                </c:pt>
                <c:pt idx="136">
                  <c:v>7350000</c:v>
                </c:pt>
                <c:pt idx="137">
                  <c:v>7300000</c:v>
                </c:pt>
                <c:pt idx="138">
                  <c:v>7250000</c:v>
                </c:pt>
                <c:pt idx="139">
                  <c:v>7250000</c:v>
                </c:pt>
                <c:pt idx="140">
                  <c:v>7000000</c:v>
                </c:pt>
                <c:pt idx="141">
                  <c:v>7000000</c:v>
                </c:pt>
                <c:pt idx="142">
                  <c:v>7000000</c:v>
                </c:pt>
                <c:pt idx="143">
                  <c:v>7000000</c:v>
                </c:pt>
                <c:pt idx="144">
                  <c:v>7000000</c:v>
                </c:pt>
                <c:pt idx="145">
                  <c:v>7000000</c:v>
                </c:pt>
                <c:pt idx="146">
                  <c:v>7000000</c:v>
                </c:pt>
                <c:pt idx="147">
                  <c:v>7000000</c:v>
                </c:pt>
                <c:pt idx="148">
                  <c:v>7000000</c:v>
                </c:pt>
                <c:pt idx="149">
                  <c:v>7000000</c:v>
                </c:pt>
                <c:pt idx="150">
                  <c:v>7000000</c:v>
                </c:pt>
                <c:pt idx="151">
                  <c:v>6850000</c:v>
                </c:pt>
                <c:pt idx="152">
                  <c:v>6850000</c:v>
                </c:pt>
                <c:pt idx="153">
                  <c:v>6800000</c:v>
                </c:pt>
                <c:pt idx="154">
                  <c:v>6750000</c:v>
                </c:pt>
                <c:pt idx="155">
                  <c:v>6750000</c:v>
                </c:pt>
                <c:pt idx="156">
                  <c:v>6550000</c:v>
                </c:pt>
                <c:pt idx="157">
                  <c:v>6500000</c:v>
                </c:pt>
                <c:pt idx="158">
                  <c:v>6500000</c:v>
                </c:pt>
                <c:pt idx="159">
                  <c:v>6500000</c:v>
                </c:pt>
                <c:pt idx="160">
                  <c:v>6500000</c:v>
                </c:pt>
                <c:pt idx="161">
                  <c:v>6250000</c:v>
                </c:pt>
                <c:pt idx="162">
                  <c:v>6000000</c:v>
                </c:pt>
                <c:pt idx="163">
                  <c:v>6000000</c:v>
                </c:pt>
                <c:pt idx="164">
                  <c:v>6000000</c:v>
                </c:pt>
                <c:pt idx="165">
                  <c:v>6000000</c:v>
                </c:pt>
                <c:pt idx="166">
                  <c:v>6000000</c:v>
                </c:pt>
                <c:pt idx="167">
                  <c:v>6000000</c:v>
                </c:pt>
                <c:pt idx="168">
                  <c:v>6000000</c:v>
                </c:pt>
                <c:pt idx="169">
                  <c:v>5800000</c:v>
                </c:pt>
                <c:pt idx="170">
                  <c:v>5800000</c:v>
                </c:pt>
                <c:pt idx="171">
                  <c:v>5600000</c:v>
                </c:pt>
                <c:pt idx="172">
                  <c:v>5550000</c:v>
                </c:pt>
                <c:pt idx="173">
                  <c:v>5500000</c:v>
                </c:pt>
                <c:pt idx="174">
                  <c:v>5500000</c:v>
                </c:pt>
                <c:pt idx="175">
                  <c:v>5500000</c:v>
                </c:pt>
                <c:pt idx="176">
                  <c:v>5500000</c:v>
                </c:pt>
                <c:pt idx="177">
                  <c:v>5500000</c:v>
                </c:pt>
                <c:pt idx="178">
                  <c:v>5500000</c:v>
                </c:pt>
                <c:pt idx="179">
                  <c:v>5450000</c:v>
                </c:pt>
                <c:pt idx="180">
                  <c:v>5250000</c:v>
                </c:pt>
                <c:pt idx="181">
                  <c:v>5200000</c:v>
                </c:pt>
                <c:pt idx="182">
                  <c:v>5200000</c:v>
                </c:pt>
                <c:pt idx="183">
                  <c:v>5100000</c:v>
                </c:pt>
                <c:pt idx="184">
                  <c:v>5000000</c:v>
                </c:pt>
                <c:pt idx="185">
                  <c:v>5000000</c:v>
                </c:pt>
                <c:pt idx="186">
                  <c:v>5000000</c:v>
                </c:pt>
                <c:pt idx="187">
                  <c:v>5000000</c:v>
                </c:pt>
                <c:pt idx="188">
                  <c:v>5000000</c:v>
                </c:pt>
                <c:pt idx="189">
                  <c:v>5000000</c:v>
                </c:pt>
                <c:pt idx="190">
                  <c:v>5000000</c:v>
                </c:pt>
                <c:pt idx="191">
                  <c:v>5000000</c:v>
                </c:pt>
                <c:pt idx="192">
                  <c:v>5000000</c:v>
                </c:pt>
                <c:pt idx="193">
                  <c:v>5000000</c:v>
                </c:pt>
                <c:pt idx="194">
                  <c:v>5000000</c:v>
                </c:pt>
                <c:pt idx="195">
                  <c:v>4950000</c:v>
                </c:pt>
                <c:pt idx="196">
                  <c:v>4950000</c:v>
                </c:pt>
                <c:pt idx="197">
                  <c:v>4825000</c:v>
                </c:pt>
                <c:pt idx="198">
                  <c:v>4775000</c:v>
                </c:pt>
                <c:pt idx="199">
                  <c:v>4750000</c:v>
                </c:pt>
                <c:pt idx="200">
                  <c:v>4700000</c:v>
                </c:pt>
                <c:pt idx="201">
                  <c:v>4700000</c:v>
                </c:pt>
                <c:pt idx="202">
                  <c:v>4600000</c:v>
                </c:pt>
                <c:pt idx="203">
                  <c:v>4550000</c:v>
                </c:pt>
                <c:pt idx="204">
                  <c:v>4550000</c:v>
                </c:pt>
                <c:pt idx="205">
                  <c:v>4500000</c:v>
                </c:pt>
                <c:pt idx="206">
                  <c:v>4500000</c:v>
                </c:pt>
                <c:pt idx="207">
                  <c:v>4500000</c:v>
                </c:pt>
                <c:pt idx="208">
                  <c:v>4500000</c:v>
                </c:pt>
                <c:pt idx="209">
                  <c:v>4475000</c:v>
                </c:pt>
                <c:pt idx="210">
                  <c:v>4450000</c:v>
                </c:pt>
                <c:pt idx="211">
                  <c:v>4400000</c:v>
                </c:pt>
                <c:pt idx="212">
                  <c:v>4250000</c:v>
                </c:pt>
                <c:pt idx="213">
                  <c:v>4250000</c:v>
                </c:pt>
                <c:pt idx="214">
                  <c:v>4200000</c:v>
                </c:pt>
                <c:pt idx="215">
                  <c:v>4100000</c:v>
                </c:pt>
                <c:pt idx="216">
                  <c:v>4025000</c:v>
                </c:pt>
                <c:pt idx="217">
                  <c:v>4000000</c:v>
                </c:pt>
                <c:pt idx="218">
                  <c:v>4000000</c:v>
                </c:pt>
                <c:pt idx="219">
                  <c:v>4000000</c:v>
                </c:pt>
                <c:pt idx="220">
                  <c:v>4000000</c:v>
                </c:pt>
                <c:pt idx="221">
                  <c:v>4000000</c:v>
                </c:pt>
                <c:pt idx="222">
                  <c:v>4000000</c:v>
                </c:pt>
                <c:pt idx="223">
                  <c:v>4000000</c:v>
                </c:pt>
                <c:pt idx="224">
                  <c:v>4000000</c:v>
                </c:pt>
                <c:pt idx="225">
                  <c:v>4000000</c:v>
                </c:pt>
                <c:pt idx="226">
                  <c:v>4000000</c:v>
                </c:pt>
                <c:pt idx="227">
                  <c:v>4000000</c:v>
                </c:pt>
                <c:pt idx="228">
                  <c:v>3950000</c:v>
                </c:pt>
                <c:pt idx="229">
                  <c:v>3950000</c:v>
                </c:pt>
                <c:pt idx="230">
                  <c:v>3925000</c:v>
                </c:pt>
                <c:pt idx="231">
                  <c:v>3900000</c:v>
                </c:pt>
                <c:pt idx="232">
                  <c:v>3790000</c:v>
                </c:pt>
                <c:pt idx="233">
                  <c:v>3700000</c:v>
                </c:pt>
                <c:pt idx="234">
                  <c:v>3550000</c:v>
                </c:pt>
                <c:pt idx="235">
                  <c:v>3500000</c:v>
                </c:pt>
                <c:pt idx="236">
                  <c:v>3500000</c:v>
                </c:pt>
                <c:pt idx="237">
                  <c:v>3500000</c:v>
                </c:pt>
                <c:pt idx="238">
                  <c:v>3500000</c:v>
                </c:pt>
                <c:pt idx="239">
                  <c:v>3500000</c:v>
                </c:pt>
                <c:pt idx="240">
                  <c:v>3450000</c:v>
                </c:pt>
                <c:pt idx="241">
                  <c:v>3325000</c:v>
                </c:pt>
                <c:pt idx="242">
                  <c:v>3200000</c:v>
                </c:pt>
                <c:pt idx="243">
                  <c:v>3155000</c:v>
                </c:pt>
                <c:pt idx="244">
                  <c:v>3150000</c:v>
                </c:pt>
                <c:pt idx="245">
                  <c:v>3000000</c:v>
                </c:pt>
                <c:pt idx="246">
                  <c:v>3000000</c:v>
                </c:pt>
                <c:pt idx="247">
                  <c:v>3000000</c:v>
                </c:pt>
                <c:pt idx="248">
                  <c:v>3000000</c:v>
                </c:pt>
                <c:pt idx="249">
                  <c:v>3000000</c:v>
                </c:pt>
                <c:pt idx="250">
                  <c:v>3000000</c:v>
                </c:pt>
                <c:pt idx="251">
                  <c:v>3000000</c:v>
                </c:pt>
                <c:pt idx="252">
                  <c:v>3000000</c:v>
                </c:pt>
                <c:pt idx="253">
                  <c:v>3000000</c:v>
                </c:pt>
                <c:pt idx="254">
                  <c:v>3000000</c:v>
                </c:pt>
                <c:pt idx="255">
                  <c:v>3000000</c:v>
                </c:pt>
                <c:pt idx="256">
                  <c:v>3000000</c:v>
                </c:pt>
                <c:pt idx="257">
                  <c:v>2875000</c:v>
                </c:pt>
                <c:pt idx="258">
                  <c:v>2800000</c:v>
                </c:pt>
                <c:pt idx="259">
                  <c:v>2760000</c:v>
                </c:pt>
                <c:pt idx="260">
                  <c:v>2750000</c:v>
                </c:pt>
                <c:pt idx="261">
                  <c:v>2725000</c:v>
                </c:pt>
                <c:pt idx="262">
                  <c:v>2725000</c:v>
                </c:pt>
                <c:pt idx="263">
                  <c:v>2725000</c:v>
                </c:pt>
                <c:pt idx="264">
                  <c:v>2700000</c:v>
                </c:pt>
                <c:pt idx="265">
                  <c:v>2700000</c:v>
                </c:pt>
                <c:pt idx="266">
                  <c:v>2650000</c:v>
                </c:pt>
                <c:pt idx="267">
                  <c:v>2625000</c:v>
                </c:pt>
                <c:pt idx="268">
                  <c:v>2620000</c:v>
                </c:pt>
                <c:pt idx="269">
                  <c:v>2600000</c:v>
                </c:pt>
                <c:pt idx="270">
                  <c:v>2600000</c:v>
                </c:pt>
                <c:pt idx="271">
                  <c:v>2600000</c:v>
                </c:pt>
                <c:pt idx="272">
                  <c:v>2550000</c:v>
                </c:pt>
                <c:pt idx="273">
                  <c:v>2550000</c:v>
                </c:pt>
                <c:pt idx="274">
                  <c:v>2510000</c:v>
                </c:pt>
                <c:pt idx="275">
                  <c:v>2500000</c:v>
                </c:pt>
                <c:pt idx="276">
                  <c:v>2500000</c:v>
                </c:pt>
                <c:pt idx="277">
                  <c:v>2500000</c:v>
                </c:pt>
                <c:pt idx="278">
                  <c:v>2500000</c:v>
                </c:pt>
                <c:pt idx="279">
                  <c:v>2500000</c:v>
                </c:pt>
                <c:pt idx="280">
                  <c:v>2450000</c:v>
                </c:pt>
                <c:pt idx="281">
                  <c:v>2450000</c:v>
                </c:pt>
                <c:pt idx="282">
                  <c:v>2425000</c:v>
                </c:pt>
                <c:pt idx="283">
                  <c:v>2410000</c:v>
                </c:pt>
                <c:pt idx="284">
                  <c:v>2400000</c:v>
                </c:pt>
                <c:pt idx="285">
                  <c:v>2300000</c:v>
                </c:pt>
                <c:pt idx="286">
                  <c:v>2250000</c:v>
                </c:pt>
                <c:pt idx="287">
                  <c:v>2250000</c:v>
                </c:pt>
                <c:pt idx="288">
                  <c:v>2250000</c:v>
                </c:pt>
                <c:pt idx="289">
                  <c:v>2200000</c:v>
                </c:pt>
                <c:pt idx="290">
                  <c:v>2150000</c:v>
                </c:pt>
                <c:pt idx="291">
                  <c:v>2150000</c:v>
                </c:pt>
                <c:pt idx="292">
                  <c:v>2150000</c:v>
                </c:pt>
                <c:pt idx="293">
                  <c:v>2125000</c:v>
                </c:pt>
                <c:pt idx="294">
                  <c:v>2122500</c:v>
                </c:pt>
                <c:pt idx="295">
                  <c:v>2100000</c:v>
                </c:pt>
                <c:pt idx="296">
                  <c:v>2025000</c:v>
                </c:pt>
                <c:pt idx="297">
                  <c:v>2000000</c:v>
                </c:pt>
                <c:pt idx="298">
                  <c:v>2000000</c:v>
                </c:pt>
                <c:pt idx="299">
                  <c:v>2000000</c:v>
                </c:pt>
                <c:pt idx="300">
                  <c:v>2000000</c:v>
                </c:pt>
                <c:pt idx="301">
                  <c:v>2000000</c:v>
                </c:pt>
                <c:pt idx="302">
                  <c:v>2000000</c:v>
                </c:pt>
                <c:pt idx="303">
                  <c:v>2000000</c:v>
                </c:pt>
                <c:pt idx="304">
                  <c:v>2000000</c:v>
                </c:pt>
                <c:pt idx="305">
                  <c:v>1950000</c:v>
                </c:pt>
                <c:pt idx="306">
                  <c:v>1950000</c:v>
                </c:pt>
                <c:pt idx="307">
                  <c:v>1940000</c:v>
                </c:pt>
                <c:pt idx="308">
                  <c:v>1900000</c:v>
                </c:pt>
                <c:pt idx="309">
                  <c:v>1900000</c:v>
                </c:pt>
                <c:pt idx="310">
                  <c:v>1862500</c:v>
                </c:pt>
                <c:pt idx="311">
                  <c:v>1850000</c:v>
                </c:pt>
                <c:pt idx="312">
                  <c:v>1825000</c:v>
                </c:pt>
                <c:pt idx="313">
                  <c:v>1825000</c:v>
                </c:pt>
                <c:pt idx="314">
                  <c:v>1800000</c:v>
                </c:pt>
                <c:pt idx="315">
                  <c:v>1800000</c:v>
                </c:pt>
                <c:pt idx="316">
                  <c:v>1750000</c:v>
                </c:pt>
                <c:pt idx="317">
                  <c:v>1750000</c:v>
                </c:pt>
                <c:pt idx="318">
                  <c:v>1750000</c:v>
                </c:pt>
                <c:pt idx="319">
                  <c:v>1750000</c:v>
                </c:pt>
                <c:pt idx="320">
                  <c:v>1750000</c:v>
                </c:pt>
                <c:pt idx="321">
                  <c:v>1750000</c:v>
                </c:pt>
                <c:pt idx="322">
                  <c:v>1735000</c:v>
                </c:pt>
                <c:pt idx="323">
                  <c:v>1725000</c:v>
                </c:pt>
                <c:pt idx="324">
                  <c:v>1650000</c:v>
                </c:pt>
                <c:pt idx="325">
                  <c:v>1650000</c:v>
                </c:pt>
                <c:pt idx="326">
                  <c:v>1600000</c:v>
                </c:pt>
                <c:pt idx="327">
                  <c:v>1575000</c:v>
                </c:pt>
                <c:pt idx="328">
                  <c:v>1550000</c:v>
                </c:pt>
                <c:pt idx="329">
                  <c:v>1500000</c:v>
                </c:pt>
                <c:pt idx="330">
                  <c:v>1500000</c:v>
                </c:pt>
                <c:pt idx="331">
                  <c:v>1500000</c:v>
                </c:pt>
                <c:pt idx="332">
                  <c:v>1500000</c:v>
                </c:pt>
                <c:pt idx="333">
                  <c:v>1500000</c:v>
                </c:pt>
                <c:pt idx="334">
                  <c:v>1500000</c:v>
                </c:pt>
                <c:pt idx="335">
                  <c:v>1455000</c:v>
                </c:pt>
                <c:pt idx="336">
                  <c:v>1400000</c:v>
                </c:pt>
                <c:pt idx="337">
                  <c:v>1400000</c:v>
                </c:pt>
                <c:pt idx="338">
                  <c:v>1400000</c:v>
                </c:pt>
                <c:pt idx="339">
                  <c:v>1400000</c:v>
                </c:pt>
                <c:pt idx="340">
                  <c:v>1400000</c:v>
                </c:pt>
                <c:pt idx="341">
                  <c:v>1350000</c:v>
                </c:pt>
                <c:pt idx="342">
                  <c:v>1350000</c:v>
                </c:pt>
                <c:pt idx="343">
                  <c:v>1325000</c:v>
                </c:pt>
                <c:pt idx="344">
                  <c:v>1325000</c:v>
                </c:pt>
                <c:pt idx="345">
                  <c:v>1300000</c:v>
                </c:pt>
                <c:pt idx="346">
                  <c:v>1300000</c:v>
                </c:pt>
                <c:pt idx="347">
                  <c:v>1300000</c:v>
                </c:pt>
                <c:pt idx="348">
                  <c:v>1300000</c:v>
                </c:pt>
                <c:pt idx="349">
                  <c:v>1280000</c:v>
                </c:pt>
                <c:pt idx="350">
                  <c:v>1275000</c:v>
                </c:pt>
                <c:pt idx="351">
                  <c:v>1251500</c:v>
                </c:pt>
                <c:pt idx="352">
                  <c:v>1250000</c:v>
                </c:pt>
                <c:pt idx="353">
                  <c:v>1250000</c:v>
                </c:pt>
                <c:pt idx="354">
                  <c:v>1200000</c:v>
                </c:pt>
                <c:pt idx="355">
                  <c:v>1200000</c:v>
                </c:pt>
                <c:pt idx="356">
                  <c:v>1200000</c:v>
                </c:pt>
                <c:pt idx="357">
                  <c:v>1200000</c:v>
                </c:pt>
                <c:pt idx="358">
                  <c:v>1150000</c:v>
                </c:pt>
                <c:pt idx="359">
                  <c:v>1100000</c:v>
                </c:pt>
                <c:pt idx="360">
                  <c:v>1050000</c:v>
                </c:pt>
                <c:pt idx="361">
                  <c:v>1050000</c:v>
                </c:pt>
                <c:pt idx="362">
                  <c:v>1000000</c:v>
                </c:pt>
                <c:pt idx="363">
                  <c:v>1000000</c:v>
                </c:pt>
                <c:pt idx="364">
                  <c:v>1000000</c:v>
                </c:pt>
                <c:pt idx="365">
                  <c:v>947500</c:v>
                </c:pt>
                <c:pt idx="366">
                  <c:v>937500</c:v>
                </c:pt>
                <c:pt idx="367">
                  <c:v>935000</c:v>
                </c:pt>
                <c:pt idx="368">
                  <c:v>905000</c:v>
                </c:pt>
                <c:pt idx="369">
                  <c:v>900000</c:v>
                </c:pt>
                <c:pt idx="370">
                  <c:v>900000</c:v>
                </c:pt>
                <c:pt idx="371">
                  <c:v>900000</c:v>
                </c:pt>
                <c:pt idx="372">
                  <c:v>900000</c:v>
                </c:pt>
                <c:pt idx="373">
                  <c:v>890000</c:v>
                </c:pt>
                <c:pt idx="374">
                  <c:v>875000</c:v>
                </c:pt>
                <c:pt idx="375">
                  <c:v>875000</c:v>
                </c:pt>
                <c:pt idx="376">
                  <c:v>850000</c:v>
                </c:pt>
                <c:pt idx="377">
                  <c:v>850000</c:v>
                </c:pt>
                <c:pt idx="378">
                  <c:v>837500</c:v>
                </c:pt>
                <c:pt idx="379">
                  <c:v>825000</c:v>
                </c:pt>
                <c:pt idx="380">
                  <c:v>800000</c:v>
                </c:pt>
                <c:pt idx="381">
                  <c:v>800000</c:v>
                </c:pt>
                <c:pt idx="382">
                  <c:v>800000</c:v>
                </c:pt>
                <c:pt idx="383">
                  <c:v>780000</c:v>
                </c:pt>
                <c:pt idx="384">
                  <c:v>764600</c:v>
                </c:pt>
                <c:pt idx="385">
                  <c:v>764200</c:v>
                </c:pt>
                <c:pt idx="386">
                  <c:v>760000</c:v>
                </c:pt>
                <c:pt idx="387">
                  <c:v>757200</c:v>
                </c:pt>
                <c:pt idx="388">
                  <c:v>750000</c:v>
                </c:pt>
                <c:pt idx="389">
                  <c:v>750000</c:v>
                </c:pt>
                <c:pt idx="390">
                  <c:v>750000</c:v>
                </c:pt>
                <c:pt idx="391">
                  <c:v>750000</c:v>
                </c:pt>
                <c:pt idx="392">
                  <c:v>750000</c:v>
                </c:pt>
                <c:pt idx="393">
                  <c:v>749100</c:v>
                </c:pt>
                <c:pt idx="394">
                  <c:v>748700</c:v>
                </c:pt>
                <c:pt idx="395">
                  <c:v>745600</c:v>
                </c:pt>
                <c:pt idx="396">
                  <c:v>734500</c:v>
                </c:pt>
                <c:pt idx="397">
                  <c:v>730900</c:v>
                </c:pt>
                <c:pt idx="398">
                  <c:v>730300</c:v>
                </c:pt>
                <c:pt idx="399">
                  <c:v>730000</c:v>
                </c:pt>
                <c:pt idx="400">
                  <c:v>730000</c:v>
                </c:pt>
                <c:pt idx="401">
                  <c:v>730000</c:v>
                </c:pt>
                <c:pt idx="402">
                  <c:v>730000</c:v>
                </c:pt>
                <c:pt idx="403">
                  <c:v>730000</c:v>
                </c:pt>
                <c:pt idx="404">
                  <c:v>730000</c:v>
                </c:pt>
                <c:pt idx="405">
                  <c:v>730000</c:v>
                </c:pt>
                <c:pt idx="406">
                  <c:v>729300</c:v>
                </c:pt>
                <c:pt idx="407">
                  <c:v>728000</c:v>
                </c:pt>
                <c:pt idx="408">
                  <c:v>727500</c:v>
                </c:pt>
                <c:pt idx="409">
                  <c:v>726900</c:v>
                </c:pt>
                <c:pt idx="410">
                  <c:v>726500</c:v>
                </c:pt>
                <c:pt idx="411">
                  <c:v>726250</c:v>
                </c:pt>
                <c:pt idx="412">
                  <c:v>725900</c:v>
                </c:pt>
                <c:pt idx="413">
                  <c:v>725000</c:v>
                </c:pt>
                <c:pt idx="414">
                  <c:v>725000</c:v>
                </c:pt>
                <c:pt idx="415">
                  <c:v>725000</c:v>
                </c:pt>
                <c:pt idx="416">
                  <c:v>725000</c:v>
                </c:pt>
                <c:pt idx="417">
                  <c:v>725000</c:v>
                </c:pt>
                <c:pt idx="418">
                  <c:v>725000</c:v>
                </c:pt>
                <c:pt idx="419">
                  <c:v>724000</c:v>
                </c:pt>
                <c:pt idx="420">
                  <c:v>723600</c:v>
                </c:pt>
                <c:pt idx="421">
                  <c:v>723550</c:v>
                </c:pt>
                <c:pt idx="422">
                  <c:v>722900</c:v>
                </c:pt>
                <c:pt idx="423">
                  <c:v>722900</c:v>
                </c:pt>
                <c:pt idx="424">
                  <c:v>722450</c:v>
                </c:pt>
                <c:pt idx="425">
                  <c:v>722400</c:v>
                </c:pt>
                <c:pt idx="426">
                  <c:v>722400</c:v>
                </c:pt>
                <c:pt idx="427">
                  <c:v>721700</c:v>
                </c:pt>
                <c:pt idx="428">
                  <c:v>721500</c:v>
                </c:pt>
                <c:pt idx="429">
                  <c:v>720000</c:v>
                </c:pt>
                <c:pt idx="430">
                  <c:v>720000</c:v>
                </c:pt>
                <c:pt idx="431">
                  <c:v>720000</c:v>
                </c:pt>
                <c:pt idx="432">
                  <c:v>720000</c:v>
                </c:pt>
                <c:pt idx="433">
                  <c:v>720000</c:v>
                </c:pt>
                <c:pt idx="434">
                  <c:v>720000</c:v>
                </c:pt>
                <c:pt idx="435">
                  <c:v>720000</c:v>
                </c:pt>
                <c:pt idx="436">
                  <c:v>720000</c:v>
                </c:pt>
                <c:pt idx="437">
                  <c:v>720000</c:v>
                </c:pt>
                <c:pt idx="438">
                  <c:v>720000</c:v>
                </c:pt>
                <c:pt idx="439">
                  <c:v>720000</c:v>
                </c:pt>
                <c:pt idx="440">
                  <c:v>720000</c:v>
                </c:pt>
                <c:pt idx="441">
                  <c:v>720000</c:v>
                </c:pt>
                <c:pt idx="442">
                  <c:v>720000</c:v>
                </c:pt>
                <c:pt idx="443">
                  <c:v>720000</c:v>
                </c:pt>
                <c:pt idx="444">
                  <c:v>720000</c:v>
                </c:pt>
                <c:pt idx="445">
                  <c:v>720000</c:v>
                </c:pt>
                <c:pt idx="446">
                  <c:v>720000</c:v>
                </c:pt>
                <c:pt idx="447">
                  <c:v>719600</c:v>
                </c:pt>
                <c:pt idx="448">
                  <c:v>718300</c:v>
                </c:pt>
                <c:pt idx="449">
                  <c:v>718250</c:v>
                </c:pt>
                <c:pt idx="450">
                  <c:v>717400</c:v>
                </c:pt>
                <c:pt idx="451">
                  <c:v>717000</c:v>
                </c:pt>
                <c:pt idx="452">
                  <c:v>716900</c:v>
                </c:pt>
                <c:pt idx="453">
                  <c:v>716900</c:v>
                </c:pt>
                <c:pt idx="454">
                  <c:v>716600</c:v>
                </c:pt>
                <c:pt idx="455">
                  <c:v>716500</c:v>
                </c:pt>
                <c:pt idx="456">
                  <c:v>716200</c:v>
                </c:pt>
                <c:pt idx="457">
                  <c:v>716000</c:v>
                </c:pt>
                <c:pt idx="458">
                  <c:v>715600</c:v>
                </c:pt>
                <c:pt idx="459">
                  <c:v>715000</c:v>
                </c:pt>
                <c:pt idx="460">
                  <c:v>715000</c:v>
                </c:pt>
                <c:pt idx="461">
                  <c:v>715000</c:v>
                </c:pt>
                <c:pt idx="462">
                  <c:v>715000</c:v>
                </c:pt>
                <c:pt idx="463">
                  <c:v>715000</c:v>
                </c:pt>
                <c:pt idx="464">
                  <c:v>715000</c:v>
                </c:pt>
                <c:pt idx="465">
                  <c:v>715000</c:v>
                </c:pt>
                <c:pt idx="466">
                  <c:v>715000</c:v>
                </c:pt>
                <c:pt idx="467">
                  <c:v>714900</c:v>
                </c:pt>
                <c:pt idx="468">
                  <c:v>714500</c:v>
                </c:pt>
                <c:pt idx="469">
                  <c:v>714500</c:v>
                </c:pt>
                <c:pt idx="470">
                  <c:v>714400</c:v>
                </c:pt>
                <c:pt idx="471">
                  <c:v>714350</c:v>
                </c:pt>
                <c:pt idx="472">
                  <c:v>714000</c:v>
                </c:pt>
                <c:pt idx="473">
                  <c:v>714000</c:v>
                </c:pt>
                <c:pt idx="474">
                  <c:v>714000</c:v>
                </c:pt>
                <c:pt idx="475">
                  <c:v>714000</c:v>
                </c:pt>
                <c:pt idx="476">
                  <c:v>714000</c:v>
                </c:pt>
                <c:pt idx="477">
                  <c:v>714000</c:v>
                </c:pt>
                <c:pt idx="478">
                  <c:v>713750</c:v>
                </c:pt>
                <c:pt idx="479">
                  <c:v>713050</c:v>
                </c:pt>
                <c:pt idx="480">
                  <c:v>713000</c:v>
                </c:pt>
                <c:pt idx="481">
                  <c:v>712500</c:v>
                </c:pt>
                <c:pt idx="482">
                  <c:v>712500</c:v>
                </c:pt>
                <c:pt idx="483">
                  <c:v>712300</c:v>
                </c:pt>
                <c:pt idx="484">
                  <c:v>711800</c:v>
                </c:pt>
                <c:pt idx="485">
                  <c:v>711600</c:v>
                </c:pt>
                <c:pt idx="486">
                  <c:v>711500</c:v>
                </c:pt>
                <c:pt idx="487">
                  <c:v>711400</c:v>
                </c:pt>
                <c:pt idx="488">
                  <c:v>711400</c:v>
                </c:pt>
                <c:pt idx="489">
                  <c:v>711100</c:v>
                </c:pt>
                <c:pt idx="490">
                  <c:v>711000</c:v>
                </c:pt>
                <c:pt idx="491">
                  <c:v>710500</c:v>
                </c:pt>
                <c:pt idx="492">
                  <c:v>710500</c:v>
                </c:pt>
                <c:pt idx="493">
                  <c:v>710400</c:v>
                </c:pt>
                <c:pt idx="494">
                  <c:v>710400</c:v>
                </c:pt>
                <c:pt idx="495">
                  <c:v>710000</c:v>
                </c:pt>
                <c:pt idx="496">
                  <c:v>710000</c:v>
                </c:pt>
                <c:pt idx="497">
                  <c:v>710000</c:v>
                </c:pt>
                <c:pt idx="498">
                  <c:v>710000</c:v>
                </c:pt>
                <c:pt idx="499">
                  <c:v>710000</c:v>
                </c:pt>
                <c:pt idx="500">
                  <c:v>710000</c:v>
                </c:pt>
                <c:pt idx="501">
                  <c:v>710000</c:v>
                </c:pt>
                <c:pt idx="502">
                  <c:v>710000</c:v>
                </c:pt>
                <c:pt idx="503">
                  <c:v>710000</c:v>
                </c:pt>
                <c:pt idx="504">
                  <c:v>709500</c:v>
                </c:pt>
                <c:pt idx="505">
                  <c:v>709500</c:v>
                </c:pt>
                <c:pt idx="506">
                  <c:v>709400</c:v>
                </c:pt>
                <c:pt idx="507">
                  <c:v>709000</c:v>
                </c:pt>
                <c:pt idx="508">
                  <c:v>708750</c:v>
                </c:pt>
                <c:pt idx="509">
                  <c:v>708200</c:v>
                </c:pt>
                <c:pt idx="510">
                  <c:v>707500</c:v>
                </c:pt>
                <c:pt idx="511">
                  <c:v>707500</c:v>
                </c:pt>
                <c:pt idx="512">
                  <c:v>707500</c:v>
                </c:pt>
                <c:pt idx="513">
                  <c:v>707400</c:v>
                </c:pt>
                <c:pt idx="514">
                  <c:v>707100</c:v>
                </c:pt>
                <c:pt idx="515">
                  <c:v>706800</c:v>
                </c:pt>
                <c:pt idx="516">
                  <c:v>706700</c:v>
                </c:pt>
                <c:pt idx="517">
                  <c:v>706600</c:v>
                </c:pt>
                <c:pt idx="518">
                  <c:v>706400</c:v>
                </c:pt>
                <c:pt idx="519">
                  <c:v>706300</c:v>
                </c:pt>
                <c:pt idx="520">
                  <c:v>706200</c:v>
                </c:pt>
                <c:pt idx="521">
                  <c:v>706200</c:v>
                </c:pt>
                <c:pt idx="522">
                  <c:v>706200</c:v>
                </c:pt>
                <c:pt idx="523">
                  <c:v>706000</c:v>
                </c:pt>
                <c:pt idx="524">
                  <c:v>706000</c:v>
                </c:pt>
                <c:pt idx="525">
                  <c:v>706000</c:v>
                </c:pt>
                <c:pt idx="526">
                  <c:v>705500</c:v>
                </c:pt>
                <c:pt idx="527">
                  <c:v>705500</c:v>
                </c:pt>
                <c:pt idx="528">
                  <c:v>705400</c:v>
                </c:pt>
                <c:pt idx="529">
                  <c:v>705200</c:v>
                </c:pt>
                <c:pt idx="530">
                  <c:v>705100</c:v>
                </c:pt>
                <c:pt idx="531">
                  <c:v>705100</c:v>
                </c:pt>
                <c:pt idx="532">
                  <c:v>705000</c:v>
                </c:pt>
                <c:pt idx="533">
                  <c:v>705000</c:v>
                </c:pt>
                <c:pt idx="534">
                  <c:v>705000</c:v>
                </c:pt>
                <c:pt idx="535">
                  <c:v>705000</c:v>
                </c:pt>
                <c:pt idx="536">
                  <c:v>705000</c:v>
                </c:pt>
                <c:pt idx="537">
                  <c:v>705000</c:v>
                </c:pt>
                <c:pt idx="538">
                  <c:v>705000</c:v>
                </c:pt>
                <c:pt idx="539">
                  <c:v>705000</c:v>
                </c:pt>
                <c:pt idx="540">
                  <c:v>705000</c:v>
                </c:pt>
                <c:pt idx="541">
                  <c:v>704900</c:v>
                </c:pt>
                <c:pt idx="542">
                  <c:v>704500</c:v>
                </c:pt>
                <c:pt idx="543">
                  <c:v>704500</c:v>
                </c:pt>
                <c:pt idx="544">
                  <c:v>704500</c:v>
                </c:pt>
                <c:pt idx="545">
                  <c:v>704000</c:v>
                </c:pt>
                <c:pt idx="546">
                  <c:v>704000</c:v>
                </c:pt>
                <c:pt idx="547">
                  <c:v>704000</c:v>
                </c:pt>
                <c:pt idx="548">
                  <c:v>704000</c:v>
                </c:pt>
                <c:pt idx="549">
                  <c:v>704000</c:v>
                </c:pt>
                <c:pt idx="550">
                  <c:v>703800</c:v>
                </c:pt>
                <c:pt idx="551">
                  <c:v>703750</c:v>
                </c:pt>
                <c:pt idx="552">
                  <c:v>703700</c:v>
                </c:pt>
                <c:pt idx="553">
                  <c:v>703600</c:v>
                </c:pt>
                <c:pt idx="554">
                  <c:v>703500</c:v>
                </c:pt>
                <c:pt idx="555">
                  <c:v>703400</c:v>
                </c:pt>
                <c:pt idx="556">
                  <c:v>703000</c:v>
                </c:pt>
                <c:pt idx="557">
                  <c:v>703000</c:v>
                </c:pt>
                <c:pt idx="558">
                  <c:v>702900</c:v>
                </c:pt>
                <c:pt idx="559">
                  <c:v>702850</c:v>
                </c:pt>
                <c:pt idx="560">
                  <c:v>702500</c:v>
                </c:pt>
                <c:pt idx="561">
                  <c:v>702500</c:v>
                </c:pt>
                <c:pt idx="562">
                  <c:v>702500</c:v>
                </c:pt>
                <c:pt idx="563">
                  <c:v>702400</c:v>
                </c:pt>
                <c:pt idx="564">
                  <c:v>702200</c:v>
                </c:pt>
                <c:pt idx="565">
                  <c:v>702100</c:v>
                </c:pt>
                <c:pt idx="566">
                  <c:v>702000</c:v>
                </c:pt>
                <c:pt idx="567">
                  <c:v>701900</c:v>
                </c:pt>
                <c:pt idx="568">
                  <c:v>701700</c:v>
                </c:pt>
                <c:pt idx="569">
                  <c:v>701700</c:v>
                </c:pt>
                <c:pt idx="570">
                  <c:v>701650</c:v>
                </c:pt>
                <c:pt idx="571">
                  <c:v>701500</c:v>
                </c:pt>
                <c:pt idx="572">
                  <c:v>701500</c:v>
                </c:pt>
                <c:pt idx="573">
                  <c:v>701400</c:v>
                </c:pt>
                <c:pt idx="574">
                  <c:v>701300</c:v>
                </c:pt>
                <c:pt idx="575">
                  <c:v>701100</c:v>
                </c:pt>
                <c:pt idx="576">
                  <c:v>701000</c:v>
                </c:pt>
                <c:pt idx="577">
                  <c:v>700800</c:v>
                </c:pt>
                <c:pt idx="578">
                  <c:v>700650</c:v>
                </c:pt>
                <c:pt idx="579">
                  <c:v>700500</c:v>
                </c:pt>
                <c:pt idx="580">
                  <c:v>700200</c:v>
                </c:pt>
                <c:pt idx="581">
                  <c:v>700100</c:v>
                </c:pt>
                <c:pt idx="582">
                  <c:v>700000</c:v>
                </c:pt>
                <c:pt idx="583">
                  <c:v>700000</c:v>
                </c:pt>
                <c:pt idx="584">
                  <c:v>700000</c:v>
                </c:pt>
                <c:pt idx="585">
                  <c:v>700000</c:v>
                </c:pt>
                <c:pt idx="586">
                  <c:v>700000</c:v>
                </c:pt>
                <c:pt idx="587">
                  <c:v>700000</c:v>
                </c:pt>
                <c:pt idx="588">
                  <c:v>700000</c:v>
                </c:pt>
                <c:pt idx="589">
                  <c:v>700000</c:v>
                </c:pt>
                <c:pt idx="590">
                  <c:v>700000</c:v>
                </c:pt>
                <c:pt idx="591">
                  <c:v>700000</c:v>
                </c:pt>
                <c:pt idx="592">
                  <c:v>700000</c:v>
                </c:pt>
                <c:pt idx="593">
                  <c:v>700000</c:v>
                </c:pt>
                <c:pt idx="594">
                  <c:v>700000</c:v>
                </c:pt>
                <c:pt idx="595">
                  <c:v>700000</c:v>
                </c:pt>
                <c:pt idx="596">
                  <c:v>700000</c:v>
                </c:pt>
                <c:pt idx="597">
                  <c:v>700000</c:v>
                </c:pt>
                <c:pt idx="598">
                  <c:v>700000</c:v>
                </c:pt>
                <c:pt idx="599">
                  <c:v>700000</c:v>
                </c:pt>
                <c:pt idx="600">
                  <c:v>700000</c:v>
                </c:pt>
                <c:pt idx="601">
                  <c:v>700000</c:v>
                </c:pt>
                <c:pt idx="602">
                  <c:v>700000</c:v>
                </c:pt>
                <c:pt idx="603">
                  <c:v>700000</c:v>
                </c:pt>
                <c:pt idx="604">
                  <c:v>700000</c:v>
                </c:pt>
                <c:pt idx="605">
                  <c:v>700000</c:v>
                </c:pt>
                <c:pt idx="606">
                  <c:v>700000</c:v>
                </c:pt>
                <c:pt idx="607">
                  <c:v>700000</c:v>
                </c:pt>
                <c:pt idx="608">
                  <c:v>700000</c:v>
                </c:pt>
                <c:pt idx="609">
                  <c:v>700000</c:v>
                </c:pt>
                <c:pt idx="610">
                  <c:v>700000</c:v>
                </c:pt>
                <c:pt idx="611">
                  <c:v>700000</c:v>
                </c:pt>
                <c:pt idx="612">
                  <c:v>700000</c:v>
                </c:pt>
                <c:pt idx="613">
                  <c:v>700000</c:v>
                </c:pt>
                <c:pt idx="614">
                  <c:v>700000</c:v>
                </c:pt>
                <c:pt idx="615">
                  <c:v>700000</c:v>
                </c:pt>
                <c:pt idx="616">
                  <c:v>700000</c:v>
                </c:pt>
                <c:pt idx="617">
                  <c:v>700000</c:v>
                </c:pt>
                <c:pt idx="618">
                  <c:v>700000</c:v>
                </c:pt>
                <c:pt idx="619">
                  <c:v>700000</c:v>
                </c:pt>
                <c:pt idx="620">
                  <c:v>700000</c:v>
                </c:pt>
                <c:pt idx="621">
                  <c:v>700000</c:v>
                </c:pt>
                <c:pt idx="622">
                  <c:v>700000</c:v>
                </c:pt>
                <c:pt idx="623">
                  <c:v>700000</c:v>
                </c:pt>
                <c:pt idx="624">
                  <c:v>700000</c:v>
                </c:pt>
                <c:pt idx="625">
                  <c:v>700000</c:v>
                </c:pt>
                <c:pt idx="626">
                  <c:v>700000</c:v>
                </c:pt>
                <c:pt idx="627">
                  <c:v>700000</c:v>
                </c:pt>
                <c:pt idx="628">
                  <c:v>700000</c:v>
                </c:pt>
                <c:pt idx="629">
                  <c:v>700000</c:v>
                </c:pt>
                <c:pt idx="630">
                  <c:v>700000</c:v>
                </c:pt>
                <c:pt idx="631">
                  <c:v>700000</c:v>
                </c:pt>
                <c:pt idx="632">
                  <c:v>700000</c:v>
                </c:pt>
                <c:pt idx="633">
                  <c:v>700000</c:v>
                </c:pt>
                <c:pt idx="634">
                  <c:v>700000</c:v>
                </c:pt>
                <c:pt idx="635">
                  <c:v>700000</c:v>
                </c:pt>
                <c:pt idx="636">
                  <c:v>700000</c:v>
                </c:pt>
                <c:pt idx="637">
                  <c:v>700000</c:v>
                </c:pt>
                <c:pt idx="638">
                  <c:v>700000</c:v>
                </c:pt>
                <c:pt idx="639">
                  <c:v>700000</c:v>
                </c:pt>
                <c:pt idx="640">
                  <c:v>700000</c:v>
                </c:pt>
                <c:pt idx="641">
                  <c:v>700000</c:v>
                </c:pt>
                <c:pt idx="642">
                  <c:v>700000</c:v>
                </c:pt>
                <c:pt idx="643">
                  <c:v>700000</c:v>
                </c:pt>
                <c:pt idx="644">
                  <c:v>700000</c:v>
                </c:pt>
                <c:pt idx="645">
                  <c:v>700000</c:v>
                </c:pt>
                <c:pt idx="646">
                  <c:v>700000</c:v>
                </c:pt>
                <c:pt idx="647">
                  <c:v>700000</c:v>
                </c:pt>
                <c:pt idx="648">
                  <c:v>700000</c:v>
                </c:pt>
                <c:pt idx="649">
                  <c:v>700000</c:v>
                </c:pt>
                <c:pt idx="650">
                  <c:v>700000</c:v>
                </c:pt>
                <c:pt idx="651">
                  <c:v>700000</c:v>
                </c:pt>
                <c:pt idx="652">
                  <c:v>700000</c:v>
                </c:pt>
                <c:pt idx="653">
                  <c:v>700000</c:v>
                </c:pt>
                <c:pt idx="654">
                  <c:v>700000</c:v>
                </c:pt>
                <c:pt idx="655">
                  <c:v>700000</c:v>
                </c:pt>
                <c:pt idx="656">
                  <c:v>700000</c:v>
                </c:pt>
                <c:pt idx="657">
                  <c:v>700000</c:v>
                </c:pt>
                <c:pt idx="658">
                  <c:v>700000</c:v>
                </c:pt>
                <c:pt idx="659">
                  <c:v>700000</c:v>
                </c:pt>
                <c:pt idx="660">
                  <c:v>700000</c:v>
                </c:pt>
                <c:pt idx="661">
                  <c:v>700000</c:v>
                </c:pt>
                <c:pt idx="662">
                  <c:v>700000</c:v>
                </c:pt>
                <c:pt idx="663">
                  <c:v>700000</c:v>
                </c:pt>
                <c:pt idx="664">
                  <c:v>700000</c:v>
                </c:pt>
                <c:pt idx="665">
                  <c:v>700000</c:v>
                </c:pt>
                <c:pt idx="666">
                  <c:v>700000</c:v>
                </c:pt>
                <c:pt idx="667">
                  <c:v>700000</c:v>
                </c:pt>
                <c:pt idx="668">
                  <c:v>700000</c:v>
                </c:pt>
                <c:pt idx="669">
                  <c:v>700000</c:v>
                </c:pt>
                <c:pt idx="670">
                  <c:v>700000</c:v>
                </c:pt>
                <c:pt idx="671">
                  <c:v>700000</c:v>
                </c:pt>
                <c:pt idx="672">
                  <c:v>700000</c:v>
                </c:pt>
                <c:pt idx="673">
                  <c:v>700000</c:v>
                </c:pt>
                <c:pt idx="674">
                  <c:v>700000</c:v>
                </c:pt>
                <c:pt idx="675">
                  <c:v>700000</c:v>
                </c:pt>
                <c:pt idx="676">
                  <c:v>700000</c:v>
                </c:pt>
                <c:pt idx="677">
                  <c:v>700000</c:v>
                </c:pt>
                <c:pt idx="678">
                  <c:v>700000</c:v>
                </c:pt>
                <c:pt idx="679">
                  <c:v>700000</c:v>
                </c:pt>
                <c:pt idx="680">
                  <c:v>700000</c:v>
                </c:pt>
                <c:pt idx="681">
                  <c:v>700000</c:v>
                </c:pt>
                <c:pt idx="682">
                  <c:v>700000</c:v>
                </c:pt>
                <c:pt idx="683">
                  <c:v>700000</c:v>
                </c:pt>
                <c:pt idx="684">
                  <c:v>700000</c:v>
                </c:pt>
                <c:pt idx="685">
                  <c:v>700000</c:v>
                </c:pt>
                <c:pt idx="686">
                  <c:v>700000</c:v>
                </c:pt>
                <c:pt idx="687">
                  <c:v>700000</c:v>
                </c:pt>
                <c:pt idx="688">
                  <c:v>700000</c:v>
                </c:pt>
                <c:pt idx="689">
                  <c:v>700000</c:v>
                </c:pt>
                <c:pt idx="690">
                  <c:v>700000</c:v>
                </c:pt>
                <c:pt idx="691">
                  <c:v>700000</c:v>
                </c:pt>
                <c:pt idx="692">
                  <c:v>700000</c:v>
                </c:pt>
                <c:pt idx="693">
                  <c:v>700000</c:v>
                </c:pt>
                <c:pt idx="694">
                  <c:v>700000</c:v>
                </c:pt>
                <c:pt idx="695">
                  <c:v>700000</c:v>
                </c:pt>
                <c:pt idx="696">
                  <c:v>700000</c:v>
                </c:pt>
                <c:pt idx="697">
                  <c:v>700000</c:v>
                </c:pt>
                <c:pt idx="698">
                  <c:v>700000</c:v>
                </c:pt>
                <c:pt idx="699">
                  <c:v>700000</c:v>
                </c:pt>
                <c:pt idx="700">
                  <c:v>700000</c:v>
                </c:pt>
                <c:pt idx="701">
                  <c:v>700000</c:v>
                </c:pt>
                <c:pt idx="702">
                  <c:v>700000</c:v>
                </c:pt>
                <c:pt idx="703">
                  <c:v>700000</c:v>
                </c:pt>
                <c:pt idx="704">
                  <c:v>700000</c:v>
                </c:pt>
                <c:pt idx="705">
                  <c:v>700000</c:v>
                </c:pt>
                <c:pt idx="706">
                  <c:v>700000</c:v>
                </c:pt>
                <c:pt idx="707">
                  <c:v>700000</c:v>
                </c:pt>
                <c:pt idx="708">
                  <c:v>700000</c:v>
                </c:pt>
                <c:pt idx="709">
                  <c:v>700000</c:v>
                </c:pt>
                <c:pt idx="710">
                  <c:v>700000</c:v>
                </c:pt>
                <c:pt idx="711">
                  <c:v>700000</c:v>
                </c:pt>
                <c:pt idx="712">
                  <c:v>700000</c:v>
                </c:pt>
                <c:pt idx="713">
                  <c:v>700000</c:v>
                </c:pt>
                <c:pt idx="714">
                  <c:v>700000</c:v>
                </c:pt>
                <c:pt idx="715">
                  <c:v>700000</c:v>
                </c:pt>
                <c:pt idx="716">
                  <c:v>700000</c:v>
                </c:pt>
                <c:pt idx="717">
                  <c:v>700000</c:v>
                </c:pt>
                <c:pt idx="718">
                  <c:v>700000</c:v>
                </c:pt>
                <c:pt idx="719">
                  <c:v>700000</c:v>
                </c:pt>
                <c:pt idx="720">
                  <c:v>700000</c:v>
                </c:pt>
                <c:pt idx="721">
                  <c:v>700000</c:v>
                </c:pt>
                <c:pt idx="722">
                  <c:v>700000</c:v>
                </c:pt>
                <c:pt idx="723">
                  <c:v>700000</c:v>
                </c:pt>
                <c:pt idx="724">
                  <c:v>700000</c:v>
                </c:pt>
                <c:pt idx="725">
                  <c:v>700000</c:v>
                </c:pt>
                <c:pt idx="726">
                  <c:v>700000</c:v>
                </c:pt>
                <c:pt idx="727">
                  <c:v>700000</c:v>
                </c:pt>
                <c:pt idx="728">
                  <c:v>700000</c:v>
                </c:pt>
                <c:pt idx="729">
                  <c:v>700000</c:v>
                </c:pt>
                <c:pt idx="730">
                  <c:v>700000</c:v>
                </c:pt>
                <c:pt idx="731">
                  <c:v>700000</c:v>
                </c:pt>
                <c:pt idx="732">
                  <c:v>700000</c:v>
                </c:pt>
                <c:pt idx="733">
                  <c:v>700000</c:v>
                </c:pt>
                <c:pt idx="734">
                  <c:v>700000</c:v>
                </c:pt>
                <c:pt idx="735">
                  <c:v>700000</c:v>
                </c:pt>
                <c:pt idx="736">
                  <c:v>700000</c:v>
                </c:pt>
                <c:pt idx="737">
                  <c:v>700000</c:v>
                </c:pt>
                <c:pt idx="738">
                  <c:v>700000</c:v>
                </c:pt>
                <c:pt idx="739">
                  <c:v>700000</c:v>
                </c:pt>
                <c:pt idx="740">
                  <c:v>700000</c:v>
                </c:pt>
                <c:pt idx="741">
                  <c:v>700000</c:v>
                </c:pt>
                <c:pt idx="742">
                  <c:v>700000</c:v>
                </c:pt>
                <c:pt idx="743">
                  <c:v>700000</c:v>
                </c:pt>
                <c:pt idx="744">
                  <c:v>700000</c:v>
                </c:pt>
                <c:pt idx="745">
                  <c:v>700000</c:v>
                </c:pt>
                <c:pt idx="746">
                  <c:v>700000</c:v>
                </c:pt>
                <c:pt idx="747">
                  <c:v>700000</c:v>
                </c:pt>
                <c:pt idx="748">
                  <c:v>700000</c:v>
                </c:pt>
                <c:pt idx="749">
                  <c:v>700000</c:v>
                </c:pt>
                <c:pt idx="750">
                  <c:v>700000</c:v>
                </c:pt>
                <c:pt idx="751">
                  <c:v>700000</c:v>
                </c:pt>
                <c:pt idx="752">
                  <c:v>700000</c:v>
                </c:pt>
                <c:pt idx="753">
                  <c:v>700000</c:v>
                </c:pt>
                <c:pt idx="754">
                  <c:v>700000</c:v>
                </c:pt>
                <c:pt idx="755">
                  <c:v>700000</c:v>
                </c:pt>
                <c:pt idx="756">
                  <c:v>700000</c:v>
                </c:pt>
                <c:pt idx="757">
                  <c:v>700000</c:v>
                </c:pt>
                <c:pt idx="758">
                  <c:v>700000</c:v>
                </c:pt>
                <c:pt idx="759">
                  <c:v>700000</c:v>
                </c:pt>
                <c:pt idx="760">
                  <c:v>700000</c:v>
                </c:pt>
                <c:pt idx="761">
                  <c:v>700000</c:v>
                </c:pt>
                <c:pt idx="762">
                  <c:v>700000</c:v>
                </c:pt>
                <c:pt idx="763">
                  <c:v>700000</c:v>
                </c:pt>
                <c:pt idx="764">
                  <c:v>700000</c:v>
                </c:pt>
                <c:pt idx="765">
                  <c:v>700000</c:v>
                </c:pt>
                <c:pt idx="766">
                  <c:v>700000</c:v>
                </c:pt>
                <c:pt idx="767">
                  <c:v>700000</c:v>
                </c:pt>
                <c:pt idx="768">
                  <c:v>700000</c:v>
                </c:pt>
                <c:pt idx="769">
                  <c:v>700000</c:v>
                </c:pt>
                <c:pt idx="770">
                  <c:v>700000</c:v>
                </c:pt>
                <c:pt idx="771">
                  <c:v>700000</c:v>
                </c:pt>
                <c:pt idx="772">
                  <c:v>700000</c:v>
                </c:pt>
                <c:pt idx="773">
                  <c:v>700000</c:v>
                </c:pt>
                <c:pt idx="774">
                  <c:v>700000</c:v>
                </c:pt>
                <c:pt idx="775">
                  <c:v>700000</c:v>
                </c:pt>
                <c:pt idx="776">
                  <c:v>700000</c:v>
                </c:pt>
                <c:pt idx="777">
                  <c:v>700000</c:v>
                </c:pt>
                <c:pt idx="778">
                  <c:v>700000</c:v>
                </c:pt>
                <c:pt idx="779">
                  <c:v>700000</c:v>
                </c:pt>
                <c:pt idx="780">
                  <c:v>700000</c:v>
                </c:pt>
                <c:pt idx="781">
                  <c:v>700000</c:v>
                </c:pt>
                <c:pt idx="782">
                  <c:v>700000</c:v>
                </c:pt>
                <c:pt idx="783">
                  <c:v>700000</c:v>
                </c:pt>
                <c:pt idx="784">
                  <c:v>700000</c:v>
                </c:pt>
                <c:pt idx="785">
                  <c:v>700000</c:v>
                </c:pt>
                <c:pt idx="786">
                  <c:v>700000</c:v>
                </c:pt>
                <c:pt idx="787">
                  <c:v>700000</c:v>
                </c:pt>
                <c:pt idx="788">
                  <c:v>700000</c:v>
                </c:pt>
                <c:pt idx="789">
                  <c:v>700000</c:v>
                </c:pt>
                <c:pt idx="790">
                  <c:v>700000</c:v>
                </c:pt>
                <c:pt idx="791">
                  <c:v>700000</c:v>
                </c:pt>
                <c:pt idx="792">
                  <c:v>700000</c:v>
                </c:pt>
                <c:pt idx="793">
                  <c:v>700000</c:v>
                </c:pt>
                <c:pt idx="794">
                  <c:v>700000</c:v>
                </c:pt>
                <c:pt idx="795">
                  <c:v>700000</c:v>
                </c:pt>
                <c:pt idx="796">
                  <c:v>700000</c:v>
                </c:pt>
                <c:pt idx="797">
                  <c:v>700000</c:v>
                </c:pt>
                <c:pt idx="798">
                  <c:v>700000</c:v>
                </c:pt>
                <c:pt idx="799">
                  <c:v>700000</c:v>
                </c:pt>
                <c:pt idx="800">
                  <c:v>700000</c:v>
                </c:pt>
                <c:pt idx="801">
                  <c:v>700000</c:v>
                </c:pt>
                <c:pt idx="802">
                  <c:v>700000</c:v>
                </c:pt>
                <c:pt idx="803">
                  <c:v>700000</c:v>
                </c:pt>
                <c:pt idx="804">
                  <c:v>700000</c:v>
                </c:pt>
                <c:pt idx="805">
                  <c:v>700000</c:v>
                </c:pt>
                <c:pt idx="806">
                  <c:v>700000</c:v>
                </c:pt>
                <c:pt idx="807">
                  <c:v>700000</c:v>
                </c:pt>
                <c:pt idx="808">
                  <c:v>700000</c:v>
                </c:pt>
                <c:pt idx="809">
                  <c:v>700000</c:v>
                </c:pt>
                <c:pt idx="810">
                  <c:v>700000</c:v>
                </c:pt>
                <c:pt idx="811">
                  <c:v>700000</c:v>
                </c:pt>
                <c:pt idx="812">
                  <c:v>700000</c:v>
                </c:pt>
                <c:pt idx="813">
                  <c:v>700000</c:v>
                </c:pt>
                <c:pt idx="814">
                  <c:v>700000</c:v>
                </c:pt>
                <c:pt idx="815">
                  <c:v>700000</c:v>
                </c:pt>
                <c:pt idx="816">
                  <c:v>700000</c:v>
                </c:pt>
                <c:pt idx="817">
                  <c:v>700000</c:v>
                </c:pt>
                <c:pt idx="818">
                  <c:v>700000</c:v>
                </c:pt>
                <c:pt idx="819">
                  <c:v>700000</c:v>
                </c:pt>
                <c:pt idx="820">
                  <c:v>700000</c:v>
                </c:pt>
                <c:pt idx="821">
                  <c:v>700000</c:v>
                </c:pt>
                <c:pt idx="822">
                  <c:v>700000</c:v>
                </c:pt>
                <c:pt idx="823">
                  <c:v>700000</c:v>
                </c:pt>
                <c:pt idx="824">
                  <c:v>700000</c:v>
                </c:pt>
                <c:pt idx="825">
                  <c:v>700000</c:v>
                </c:pt>
                <c:pt idx="826">
                  <c:v>700000</c:v>
                </c:pt>
                <c:pt idx="827">
                  <c:v>700000</c:v>
                </c:pt>
                <c:pt idx="828">
                  <c:v>700000</c:v>
                </c:pt>
                <c:pt idx="829">
                  <c:v>700000</c:v>
                </c:pt>
                <c:pt idx="830">
                  <c:v>700000</c:v>
                </c:pt>
                <c:pt idx="831">
                  <c:v>700000</c:v>
                </c:pt>
                <c:pt idx="832">
                  <c:v>700000</c:v>
                </c:pt>
                <c:pt idx="833">
                  <c:v>700000</c:v>
                </c:pt>
                <c:pt idx="834">
                  <c:v>700000</c:v>
                </c:pt>
                <c:pt idx="835">
                  <c:v>700000</c:v>
                </c:pt>
                <c:pt idx="836">
                  <c:v>700000</c:v>
                </c:pt>
                <c:pt idx="837">
                  <c:v>700000</c:v>
                </c:pt>
                <c:pt idx="838">
                  <c:v>700000</c:v>
                </c:pt>
                <c:pt idx="839">
                  <c:v>700000</c:v>
                </c:pt>
                <c:pt idx="840">
                  <c:v>700000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9C-454F-99FD-072B6645E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1577296"/>
        <c:axId val="1481577776"/>
      </c:barChart>
      <c:catAx>
        <c:axId val="1481577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1577776"/>
        <c:crosses val="autoZero"/>
        <c:auto val="1"/>
        <c:lblAlgn val="ctr"/>
        <c:lblOffset val="100"/>
        <c:noMultiLvlLbl val="0"/>
      </c:catAx>
      <c:valAx>
        <c:axId val="1481577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1577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boxWhisker" uniqueId="{A2436D11-417D-479D-BEBF-6ABCA5FE673A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Box Pot Salary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Box Pot Salary</a:t>
          </a:r>
        </a:p>
      </cx:txPr>
    </cx:title>
    <cx:plotArea>
      <cx:plotAreaRegion>
        <cx:series layoutId="boxWhisker" uniqueId="{A2436D11-417D-479D-BEBF-6ABCA5FE673A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9</xdr:col>
      <xdr:colOff>66675</xdr:colOff>
      <xdr:row>5</xdr:row>
      <xdr:rowOff>142875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9600" y="190500"/>
          <a:ext cx="4943475" cy="904875"/>
        </a:xfrm>
        <a:prstGeom prst="roundRect">
          <a:avLst/>
        </a:prstGeom>
        <a:solidFill>
          <a:schemeClr val="bg1">
            <a:shade val="80000"/>
          </a:schemeClr>
        </a:solidFill>
        <a:ln w="9525" cmpd="sng">
          <a:solidFill>
            <a:schemeClr val="lt1">
              <a:shade val="50000"/>
            </a:schemeClr>
          </a:solidFill>
        </a:ln>
        <a:effectLst>
          <a:outerShdw blurRad="50800" dist="38100" dir="8100000" algn="tr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rtlCol="0" anchor="t"/>
        <a:lstStyle/>
        <a:p>
          <a:r>
            <a:rPr lang="en-US" sz="1100"/>
            <a:t>Websites like the following (one per team)</a:t>
          </a:r>
        </a:p>
        <a:p>
          <a:endParaRPr lang="en-US" sz="1100" baseline="0"/>
        </a:p>
        <a:p>
          <a:r>
            <a:rPr lang="en-US" sz="1100" baseline="0"/>
            <a:t>https://www.spotrac.com/mlb/arizona-diamondbacks/payroll/2022/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447675</xdr:colOff>
      <xdr:row>812</xdr:row>
      <xdr:rowOff>157162</xdr:rowOff>
    </xdr:from>
    <xdr:to>
      <xdr:col>24</xdr:col>
      <xdr:colOff>142875</xdr:colOff>
      <xdr:row>827</xdr:row>
      <xdr:rowOff>42862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0FB1EF39-EAA5-0979-11F6-9D04C77B881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649200" y="15484316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428625</xdr:colOff>
      <xdr:row>810</xdr:row>
      <xdr:rowOff>138112</xdr:rowOff>
    </xdr:from>
    <xdr:to>
      <xdr:col>15</xdr:col>
      <xdr:colOff>123825</xdr:colOff>
      <xdr:row>825</xdr:row>
      <xdr:rowOff>23812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A768352-E064-4E97-8A28-AB8BC1A7C4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314325</xdr:colOff>
      <xdr:row>7</xdr:row>
      <xdr:rowOff>66675</xdr:rowOff>
    </xdr:from>
    <xdr:to>
      <xdr:col>11</xdr:col>
      <xdr:colOff>276225</xdr:colOff>
      <xdr:row>21</xdr:row>
      <xdr:rowOff>142875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15FDB59E-A35D-42B0-B1DF-1FE50470C36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915275" y="14001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1"/>
  <dimension ref="B12"/>
  <sheetViews>
    <sheetView showGridLines="0" showRowColHeaders="0" workbookViewId="0"/>
  </sheetViews>
  <sheetFormatPr defaultRowHeight="15" x14ac:dyDescent="0.25"/>
  <sheetData>
    <row r="12" spans="2:2" x14ac:dyDescent="0.25">
      <c r="B12" s="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0C1D7-F82F-4171-9F85-50DF2863FEF7}">
  <sheetPr codeName="Sheet1"/>
  <dimension ref="A1:D842"/>
  <sheetViews>
    <sheetView tabSelected="1" topLeftCell="A818" workbookViewId="0">
      <selection activeCell="G815" sqref="G815"/>
    </sheetView>
  </sheetViews>
  <sheetFormatPr defaultRowHeight="15" x14ac:dyDescent="0.25"/>
  <cols>
    <col min="1" max="1" width="21.42578125" bestFit="1" customWidth="1"/>
    <col min="2" max="2" width="22" bestFit="1" customWidth="1"/>
    <col min="3" max="3" width="19.7109375" bestFit="1" customWidth="1"/>
    <col min="4" max="4" width="10.140625" bestFit="1" customWidth="1"/>
  </cols>
  <sheetData>
    <row r="1" spans="1:4" x14ac:dyDescent="0.25">
      <c r="A1" t="s">
        <v>38</v>
      </c>
      <c r="B1" t="s">
        <v>877</v>
      </c>
      <c r="C1" t="s">
        <v>36</v>
      </c>
      <c r="D1" s="1" t="s">
        <v>37</v>
      </c>
    </row>
    <row r="2" spans="1:4" x14ac:dyDescent="0.25">
      <c r="A2" t="s">
        <v>59</v>
      </c>
      <c r="B2" t="s">
        <v>21</v>
      </c>
      <c r="C2" t="s">
        <v>878</v>
      </c>
      <c r="D2" s="2">
        <v>43333333</v>
      </c>
    </row>
    <row r="3" spans="1:4" x14ac:dyDescent="0.25">
      <c r="A3" t="s">
        <v>56</v>
      </c>
      <c r="B3" t="s">
        <v>69</v>
      </c>
      <c r="C3" t="s">
        <v>0</v>
      </c>
      <c r="D3" s="2">
        <v>36000000</v>
      </c>
    </row>
    <row r="4" spans="1:4" x14ac:dyDescent="0.25">
      <c r="A4" t="s">
        <v>39</v>
      </c>
      <c r="B4" t="s">
        <v>96</v>
      </c>
      <c r="C4" t="s">
        <v>878</v>
      </c>
      <c r="D4" s="2">
        <v>36000000</v>
      </c>
    </row>
    <row r="5" spans="1:4" x14ac:dyDescent="0.25">
      <c r="A5" t="s">
        <v>56</v>
      </c>
      <c r="B5" t="s">
        <v>136</v>
      </c>
      <c r="C5" t="s">
        <v>879</v>
      </c>
      <c r="D5" s="2">
        <v>35450000</v>
      </c>
    </row>
    <row r="6" spans="1:4" x14ac:dyDescent="0.25">
      <c r="A6" t="s">
        <v>58</v>
      </c>
      <c r="B6" t="s">
        <v>188</v>
      </c>
      <c r="C6" t="s">
        <v>2</v>
      </c>
      <c r="D6" s="2">
        <v>35100000</v>
      </c>
    </row>
    <row r="7" spans="1:4" x14ac:dyDescent="0.25">
      <c r="A7" t="s">
        <v>417</v>
      </c>
      <c r="B7" t="s">
        <v>139</v>
      </c>
      <c r="C7" t="s">
        <v>0</v>
      </c>
      <c r="D7" s="2">
        <v>35000000</v>
      </c>
    </row>
    <row r="8" spans="1:4" x14ac:dyDescent="0.25">
      <c r="A8" t="s">
        <v>59</v>
      </c>
      <c r="B8" t="s">
        <v>99</v>
      </c>
      <c r="C8" t="s">
        <v>878</v>
      </c>
      <c r="D8" s="2">
        <v>33500000</v>
      </c>
    </row>
    <row r="9" spans="1:4" x14ac:dyDescent="0.25">
      <c r="A9" t="s">
        <v>31</v>
      </c>
      <c r="B9" t="s">
        <v>199</v>
      </c>
      <c r="C9" t="s">
        <v>2</v>
      </c>
      <c r="D9" s="2">
        <v>32500000</v>
      </c>
    </row>
    <row r="10" spans="1:4" x14ac:dyDescent="0.25">
      <c r="A10" t="s">
        <v>52</v>
      </c>
      <c r="B10" t="s">
        <v>19</v>
      </c>
      <c r="C10" t="s">
        <v>6</v>
      </c>
      <c r="D10" s="2">
        <v>32000000</v>
      </c>
    </row>
    <row r="11" spans="1:4" x14ac:dyDescent="0.25">
      <c r="A11" t="s">
        <v>42</v>
      </c>
      <c r="B11" t="s">
        <v>30</v>
      </c>
      <c r="C11" t="s">
        <v>880</v>
      </c>
      <c r="D11" s="2">
        <v>32000000</v>
      </c>
    </row>
    <row r="12" spans="1:4" x14ac:dyDescent="0.25">
      <c r="A12" t="s">
        <v>59</v>
      </c>
      <c r="B12" t="s">
        <v>195</v>
      </c>
      <c r="C12" t="s">
        <v>2</v>
      </c>
      <c r="D12" s="2">
        <v>32000000</v>
      </c>
    </row>
    <row r="13" spans="1:4" x14ac:dyDescent="0.25">
      <c r="A13" t="s">
        <v>60</v>
      </c>
      <c r="B13" t="s">
        <v>124</v>
      </c>
      <c r="C13" t="s">
        <v>0</v>
      </c>
      <c r="D13" s="2">
        <v>30000000</v>
      </c>
    </row>
    <row r="14" spans="1:4" x14ac:dyDescent="0.25">
      <c r="A14" t="s">
        <v>39</v>
      </c>
      <c r="B14" t="s">
        <v>97</v>
      </c>
      <c r="C14" t="s">
        <v>881</v>
      </c>
      <c r="D14" s="2">
        <v>29000000</v>
      </c>
    </row>
    <row r="15" spans="1:4" x14ac:dyDescent="0.25">
      <c r="A15" t="s">
        <v>34</v>
      </c>
      <c r="B15" t="s">
        <v>95</v>
      </c>
      <c r="C15" t="s">
        <v>879</v>
      </c>
      <c r="D15" s="2">
        <v>28000000</v>
      </c>
    </row>
    <row r="16" spans="1:4" x14ac:dyDescent="0.25">
      <c r="A16" t="s">
        <v>42</v>
      </c>
      <c r="B16" t="s">
        <v>14</v>
      </c>
      <c r="C16" t="s">
        <v>1</v>
      </c>
      <c r="D16" s="2">
        <v>27000000</v>
      </c>
    </row>
    <row r="17" spans="1:4" x14ac:dyDescent="0.25">
      <c r="A17" t="s">
        <v>54</v>
      </c>
      <c r="B17" t="s">
        <v>108</v>
      </c>
      <c r="C17" t="s">
        <v>4</v>
      </c>
      <c r="D17" s="2">
        <v>26000000</v>
      </c>
    </row>
    <row r="18" spans="1:4" x14ac:dyDescent="0.25">
      <c r="A18" t="s">
        <v>44</v>
      </c>
      <c r="B18" t="s">
        <v>76</v>
      </c>
      <c r="C18" t="s">
        <v>6</v>
      </c>
      <c r="D18" s="2">
        <v>26000000</v>
      </c>
    </row>
    <row r="19" spans="1:4" x14ac:dyDescent="0.25">
      <c r="A19" t="s">
        <v>57</v>
      </c>
      <c r="B19" t="s">
        <v>84</v>
      </c>
      <c r="C19" t="s">
        <v>882</v>
      </c>
      <c r="D19" s="2">
        <v>26000000</v>
      </c>
    </row>
    <row r="20" spans="1:4" x14ac:dyDescent="0.25">
      <c r="A20" t="s">
        <v>44</v>
      </c>
      <c r="B20" t="s">
        <v>783</v>
      </c>
      <c r="C20" t="s">
        <v>878</v>
      </c>
      <c r="D20" s="2">
        <v>26000000</v>
      </c>
    </row>
    <row r="21" spans="1:4" x14ac:dyDescent="0.25">
      <c r="A21" t="s">
        <v>31</v>
      </c>
      <c r="B21" t="s">
        <v>126</v>
      </c>
      <c r="C21" t="s">
        <v>4</v>
      </c>
      <c r="D21" s="2">
        <v>25000000</v>
      </c>
    </row>
    <row r="22" spans="1:4" x14ac:dyDescent="0.25">
      <c r="A22" t="s">
        <v>47</v>
      </c>
      <c r="B22" t="s">
        <v>127</v>
      </c>
      <c r="C22" t="s">
        <v>878</v>
      </c>
      <c r="D22" s="2">
        <v>25000000</v>
      </c>
    </row>
    <row r="23" spans="1:4" x14ac:dyDescent="0.25">
      <c r="A23" t="s">
        <v>54</v>
      </c>
      <c r="B23" t="s">
        <v>20</v>
      </c>
      <c r="C23" t="s">
        <v>878</v>
      </c>
      <c r="D23" s="2">
        <v>25000000</v>
      </c>
    </row>
    <row r="24" spans="1:4" x14ac:dyDescent="0.25">
      <c r="A24" t="s">
        <v>44</v>
      </c>
      <c r="B24" t="s">
        <v>171</v>
      </c>
      <c r="C24" t="s">
        <v>3</v>
      </c>
      <c r="D24" s="2">
        <v>23875000</v>
      </c>
    </row>
    <row r="25" spans="1:4" x14ac:dyDescent="0.25">
      <c r="A25" t="s">
        <v>45</v>
      </c>
      <c r="B25" t="s">
        <v>7</v>
      </c>
      <c r="C25" t="s">
        <v>878</v>
      </c>
      <c r="D25" s="2">
        <v>23000000</v>
      </c>
    </row>
    <row r="26" spans="1:4" x14ac:dyDescent="0.25">
      <c r="A26" t="s">
        <v>35</v>
      </c>
      <c r="B26" t="s">
        <v>140</v>
      </c>
      <c r="C26" t="s">
        <v>878</v>
      </c>
      <c r="D26" s="2">
        <v>23000000</v>
      </c>
    </row>
    <row r="27" spans="1:4" x14ac:dyDescent="0.25">
      <c r="A27" t="s">
        <v>417</v>
      </c>
      <c r="B27" t="s">
        <v>141</v>
      </c>
      <c r="C27" t="s">
        <v>1</v>
      </c>
      <c r="D27" s="2">
        <v>22000000</v>
      </c>
    </row>
    <row r="28" spans="1:4" x14ac:dyDescent="0.25">
      <c r="A28" t="s">
        <v>372</v>
      </c>
      <c r="B28" t="s">
        <v>111</v>
      </c>
      <c r="C28" t="s">
        <v>0</v>
      </c>
      <c r="D28" s="2">
        <v>22000000</v>
      </c>
    </row>
    <row r="29" spans="1:4" x14ac:dyDescent="0.25">
      <c r="A29" t="s">
        <v>39</v>
      </c>
      <c r="B29" t="s">
        <v>112</v>
      </c>
      <c r="C29" t="s">
        <v>6</v>
      </c>
      <c r="D29" s="2">
        <v>21000000</v>
      </c>
    </row>
    <row r="30" spans="1:4" x14ac:dyDescent="0.25">
      <c r="A30" t="s">
        <v>44</v>
      </c>
      <c r="B30" t="s">
        <v>169</v>
      </c>
      <c r="C30" t="s">
        <v>878</v>
      </c>
      <c r="D30" s="2">
        <v>21000000</v>
      </c>
    </row>
    <row r="31" spans="1:4" x14ac:dyDescent="0.25">
      <c r="A31" t="s">
        <v>61</v>
      </c>
      <c r="B31" t="s">
        <v>167</v>
      </c>
      <c r="C31" t="s">
        <v>878</v>
      </c>
      <c r="D31" s="2">
        <v>21000000</v>
      </c>
    </row>
    <row r="32" spans="1:4" x14ac:dyDescent="0.25">
      <c r="A32" t="s">
        <v>34</v>
      </c>
      <c r="B32" t="s">
        <v>117</v>
      </c>
      <c r="C32" t="s">
        <v>878</v>
      </c>
      <c r="D32" s="2">
        <v>21000000</v>
      </c>
    </row>
    <row r="33" spans="1:4" x14ac:dyDescent="0.25">
      <c r="A33" t="s">
        <v>42</v>
      </c>
      <c r="B33" t="s">
        <v>209</v>
      </c>
      <c r="C33" t="s">
        <v>2</v>
      </c>
      <c r="D33" s="2">
        <v>21000000</v>
      </c>
    </row>
    <row r="34" spans="1:4" x14ac:dyDescent="0.25">
      <c r="A34" t="s">
        <v>44</v>
      </c>
      <c r="B34" t="s">
        <v>318</v>
      </c>
      <c r="C34" t="s">
        <v>881</v>
      </c>
      <c r="D34" s="2">
        <v>20000000</v>
      </c>
    </row>
    <row r="35" spans="1:4" x14ac:dyDescent="0.25">
      <c r="A35" t="s">
        <v>60</v>
      </c>
      <c r="B35" t="s">
        <v>154</v>
      </c>
      <c r="C35" t="s">
        <v>881</v>
      </c>
      <c r="D35" s="2">
        <v>20000000</v>
      </c>
    </row>
    <row r="36" spans="1:4" x14ac:dyDescent="0.25">
      <c r="A36" t="s">
        <v>50</v>
      </c>
      <c r="B36" t="s">
        <v>11</v>
      </c>
      <c r="C36" t="s">
        <v>878</v>
      </c>
      <c r="D36" s="2">
        <v>20000000</v>
      </c>
    </row>
    <row r="37" spans="1:4" x14ac:dyDescent="0.25">
      <c r="A37" t="s">
        <v>60</v>
      </c>
      <c r="B37" t="s">
        <v>161</v>
      </c>
      <c r="C37" t="s">
        <v>878</v>
      </c>
      <c r="D37" s="2">
        <v>20000000</v>
      </c>
    </row>
    <row r="38" spans="1:4" x14ac:dyDescent="0.25">
      <c r="A38" t="s">
        <v>40</v>
      </c>
      <c r="B38" t="s">
        <v>157</v>
      </c>
      <c r="C38" t="s">
        <v>2</v>
      </c>
      <c r="D38" s="2">
        <v>20000000</v>
      </c>
    </row>
    <row r="39" spans="1:4" x14ac:dyDescent="0.25">
      <c r="A39" t="s">
        <v>52</v>
      </c>
      <c r="B39" t="s">
        <v>193</v>
      </c>
      <c r="C39" t="s">
        <v>2</v>
      </c>
      <c r="D39" s="2">
        <v>20000000</v>
      </c>
    </row>
    <row r="40" spans="1:4" x14ac:dyDescent="0.25">
      <c r="A40" t="s">
        <v>40</v>
      </c>
      <c r="B40" t="s">
        <v>98</v>
      </c>
      <c r="C40" t="s">
        <v>6</v>
      </c>
      <c r="D40" s="2">
        <v>19350000</v>
      </c>
    </row>
    <row r="41" spans="1:4" x14ac:dyDescent="0.25">
      <c r="A41" t="s">
        <v>39</v>
      </c>
      <c r="B41" t="s">
        <v>196</v>
      </c>
      <c r="C41" t="s">
        <v>879</v>
      </c>
      <c r="D41" s="2">
        <v>19000000</v>
      </c>
    </row>
    <row r="42" spans="1:4" x14ac:dyDescent="0.25">
      <c r="A42" t="s">
        <v>44</v>
      </c>
      <c r="B42" t="s">
        <v>202</v>
      </c>
      <c r="C42" t="s">
        <v>882</v>
      </c>
      <c r="D42" s="2">
        <v>19000000</v>
      </c>
    </row>
    <row r="43" spans="1:4" x14ac:dyDescent="0.25">
      <c r="A43" t="s">
        <v>48</v>
      </c>
      <c r="B43" t="s">
        <v>121</v>
      </c>
      <c r="C43" t="s">
        <v>878</v>
      </c>
      <c r="D43" s="2">
        <v>18500000</v>
      </c>
    </row>
    <row r="44" spans="1:4" x14ac:dyDescent="0.25">
      <c r="A44" t="s">
        <v>48</v>
      </c>
      <c r="B44" t="s">
        <v>159</v>
      </c>
      <c r="C44" t="s">
        <v>3</v>
      </c>
      <c r="D44" s="2">
        <v>18250000</v>
      </c>
    </row>
    <row r="45" spans="1:4" x14ac:dyDescent="0.25">
      <c r="A45" t="s">
        <v>48</v>
      </c>
      <c r="B45" t="s">
        <v>107</v>
      </c>
      <c r="C45" t="s">
        <v>1</v>
      </c>
      <c r="D45" s="2">
        <v>18000000</v>
      </c>
    </row>
    <row r="46" spans="1:4" x14ac:dyDescent="0.25">
      <c r="A46" t="s">
        <v>55</v>
      </c>
      <c r="B46" t="s">
        <v>148</v>
      </c>
      <c r="C46" t="s">
        <v>3</v>
      </c>
      <c r="D46" s="2">
        <v>18000000</v>
      </c>
    </row>
    <row r="47" spans="1:4" x14ac:dyDescent="0.25">
      <c r="A47" t="s">
        <v>39</v>
      </c>
      <c r="B47" t="s">
        <v>15</v>
      </c>
      <c r="C47" t="s">
        <v>880</v>
      </c>
      <c r="D47" s="2">
        <v>18000000</v>
      </c>
    </row>
    <row r="48" spans="1:4" x14ac:dyDescent="0.25">
      <c r="A48" t="s">
        <v>42</v>
      </c>
      <c r="B48" t="s">
        <v>137</v>
      </c>
      <c r="C48" t="s">
        <v>881</v>
      </c>
      <c r="D48" s="2">
        <v>17500000</v>
      </c>
    </row>
    <row r="49" spans="1:4" x14ac:dyDescent="0.25">
      <c r="A49" t="s">
        <v>417</v>
      </c>
      <c r="B49" t="s">
        <v>27</v>
      </c>
      <c r="C49" t="s">
        <v>878</v>
      </c>
      <c r="D49" s="2">
        <v>17500000</v>
      </c>
    </row>
    <row r="50" spans="1:4" x14ac:dyDescent="0.25">
      <c r="A50" t="s">
        <v>60</v>
      </c>
      <c r="B50" t="s">
        <v>700</v>
      </c>
      <c r="C50" t="s">
        <v>881</v>
      </c>
      <c r="D50" s="2">
        <v>17100000</v>
      </c>
    </row>
    <row r="51" spans="1:4" x14ac:dyDescent="0.25">
      <c r="A51" t="s">
        <v>42</v>
      </c>
      <c r="B51" t="s">
        <v>206</v>
      </c>
      <c r="C51" t="s">
        <v>879</v>
      </c>
      <c r="D51" s="2">
        <v>17000000</v>
      </c>
    </row>
    <row r="52" spans="1:4" x14ac:dyDescent="0.25">
      <c r="A52" t="s">
        <v>40</v>
      </c>
      <c r="B52" t="s">
        <v>138</v>
      </c>
      <c r="C52" t="s">
        <v>878</v>
      </c>
      <c r="D52" s="2">
        <v>17000000</v>
      </c>
    </row>
    <row r="53" spans="1:4" x14ac:dyDescent="0.25">
      <c r="A53" t="s">
        <v>39</v>
      </c>
      <c r="B53" t="s">
        <v>70</v>
      </c>
      <c r="C53" t="s">
        <v>1</v>
      </c>
      <c r="D53" s="2">
        <v>16000000</v>
      </c>
    </row>
    <row r="54" spans="1:4" x14ac:dyDescent="0.25">
      <c r="A54" t="s">
        <v>42</v>
      </c>
      <c r="B54" t="s">
        <v>115</v>
      </c>
      <c r="C54" t="s">
        <v>0</v>
      </c>
      <c r="D54" s="2">
        <v>16000000</v>
      </c>
    </row>
    <row r="55" spans="1:4" x14ac:dyDescent="0.25">
      <c r="A55" t="s">
        <v>50</v>
      </c>
      <c r="B55" t="s">
        <v>125</v>
      </c>
      <c r="C55" t="s">
        <v>6</v>
      </c>
      <c r="D55" s="2">
        <v>16000000</v>
      </c>
    </row>
    <row r="56" spans="1:4" x14ac:dyDescent="0.25">
      <c r="A56" t="s">
        <v>34</v>
      </c>
      <c r="B56" t="s">
        <v>871</v>
      </c>
      <c r="C56" t="s">
        <v>880</v>
      </c>
      <c r="D56" s="2">
        <v>16000000</v>
      </c>
    </row>
    <row r="57" spans="1:4" x14ac:dyDescent="0.25">
      <c r="A57" t="s">
        <v>50</v>
      </c>
      <c r="B57" t="s">
        <v>9</v>
      </c>
      <c r="C57" t="s">
        <v>883</v>
      </c>
      <c r="D57" s="2">
        <v>16000000</v>
      </c>
    </row>
    <row r="58" spans="1:4" x14ac:dyDescent="0.25">
      <c r="A58" t="s">
        <v>42</v>
      </c>
      <c r="B58" t="s">
        <v>13</v>
      </c>
      <c r="C58" t="s">
        <v>883</v>
      </c>
      <c r="D58" s="2">
        <v>16000000</v>
      </c>
    </row>
    <row r="59" spans="1:4" x14ac:dyDescent="0.25">
      <c r="A59" t="s">
        <v>41</v>
      </c>
      <c r="B59" t="s">
        <v>75</v>
      </c>
      <c r="C59" t="s">
        <v>2</v>
      </c>
      <c r="D59" s="2">
        <v>16000000</v>
      </c>
    </row>
    <row r="60" spans="1:4" x14ac:dyDescent="0.25">
      <c r="A60" t="s">
        <v>417</v>
      </c>
      <c r="B60" t="s">
        <v>164</v>
      </c>
      <c r="C60" t="s">
        <v>878</v>
      </c>
      <c r="D60" s="2">
        <v>15750000</v>
      </c>
    </row>
    <row r="61" spans="1:4" x14ac:dyDescent="0.25">
      <c r="A61" t="s">
        <v>54</v>
      </c>
      <c r="B61" t="s">
        <v>337</v>
      </c>
      <c r="C61" t="s">
        <v>878</v>
      </c>
      <c r="D61" s="2">
        <v>15250000</v>
      </c>
    </row>
    <row r="62" spans="1:4" x14ac:dyDescent="0.25">
      <c r="A62" t="s">
        <v>50</v>
      </c>
      <c r="B62" t="s">
        <v>298</v>
      </c>
      <c r="C62" t="s">
        <v>1</v>
      </c>
      <c r="D62" s="2">
        <v>15000000</v>
      </c>
    </row>
    <row r="63" spans="1:4" x14ac:dyDescent="0.25">
      <c r="A63" t="s">
        <v>39</v>
      </c>
      <c r="B63" t="s">
        <v>676</v>
      </c>
      <c r="C63" t="s">
        <v>0</v>
      </c>
      <c r="D63" s="2">
        <v>15000000</v>
      </c>
    </row>
    <row r="64" spans="1:4" x14ac:dyDescent="0.25">
      <c r="A64" t="s">
        <v>42</v>
      </c>
      <c r="B64" t="s">
        <v>82</v>
      </c>
      <c r="C64" t="s">
        <v>882</v>
      </c>
      <c r="D64" s="2">
        <v>15000000</v>
      </c>
    </row>
    <row r="65" spans="1:4" x14ac:dyDescent="0.25">
      <c r="A65" t="s">
        <v>50</v>
      </c>
      <c r="B65" t="s">
        <v>596</v>
      </c>
      <c r="C65" t="s">
        <v>881</v>
      </c>
      <c r="D65" s="2">
        <v>15000000</v>
      </c>
    </row>
    <row r="66" spans="1:4" x14ac:dyDescent="0.25">
      <c r="A66" t="s">
        <v>44</v>
      </c>
      <c r="B66" t="s">
        <v>214</v>
      </c>
      <c r="C66" t="s">
        <v>878</v>
      </c>
      <c r="D66" s="2">
        <v>15000000</v>
      </c>
    </row>
    <row r="67" spans="1:4" x14ac:dyDescent="0.25">
      <c r="A67" t="s">
        <v>31</v>
      </c>
      <c r="B67" t="s">
        <v>257</v>
      </c>
      <c r="C67" t="s">
        <v>878</v>
      </c>
      <c r="D67" s="2">
        <v>15000000</v>
      </c>
    </row>
    <row r="68" spans="1:4" x14ac:dyDescent="0.25">
      <c r="A68" t="s">
        <v>59</v>
      </c>
      <c r="B68" t="s">
        <v>150</v>
      </c>
      <c r="C68" t="s">
        <v>881</v>
      </c>
      <c r="D68" s="2">
        <v>14500000</v>
      </c>
    </row>
    <row r="69" spans="1:4" x14ac:dyDescent="0.25">
      <c r="A69" t="s">
        <v>42</v>
      </c>
      <c r="B69" t="s">
        <v>8</v>
      </c>
      <c r="C69" t="s">
        <v>878</v>
      </c>
      <c r="D69" s="2">
        <v>14500000</v>
      </c>
    </row>
    <row r="70" spans="1:4" x14ac:dyDescent="0.25">
      <c r="A70" t="s">
        <v>44</v>
      </c>
      <c r="B70" t="s">
        <v>103</v>
      </c>
      <c r="C70" t="s">
        <v>4</v>
      </c>
      <c r="D70" s="2">
        <v>14250000</v>
      </c>
    </row>
    <row r="71" spans="1:4" x14ac:dyDescent="0.25">
      <c r="A71" t="s">
        <v>52</v>
      </c>
      <c r="B71" t="s">
        <v>174</v>
      </c>
      <c r="C71" t="s">
        <v>878</v>
      </c>
      <c r="D71" s="2">
        <v>14000000</v>
      </c>
    </row>
    <row r="72" spans="1:4" x14ac:dyDescent="0.25">
      <c r="A72" t="s">
        <v>48</v>
      </c>
      <c r="B72" t="s">
        <v>265</v>
      </c>
      <c r="C72" t="s">
        <v>0</v>
      </c>
      <c r="D72" s="2">
        <v>13000000</v>
      </c>
    </row>
    <row r="73" spans="1:4" x14ac:dyDescent="0.25">
      <c r="A73" t="s">
        <v>54</v>
      </c>
      <c r="B73" t="s">
        <v>155</v>
      </c>
      <c r="C73" t="s">
        <v>880</v>
      </c>
      <c r="D73" s="2">
        <v>13000000</v>
      </c>
    </row>
    <row r="74" spans="1:4" x14ac:dyDescent="0.25">
      <c r="A74" t="s">
        <v>48</v>
      </c>
      <c r="B74" t="s">
        <v>122</v>
      </c>
      <c r="C74" t="s">
        <v>883</v>
      </c>
      <c r="D74" s="2">
        <v>13000000</v>
      </c>
    </row>
    <row r="75" spans="1:4" x14ac:dyDescent="0.25">
      <c r="A75" t="s">
        <v>55</v>
      </c>
      <c r="B75" t="s">
        <v>23</v>
      </c>
      <c r="C75" t="s">
        <v>878</v>
      </c>
      <c r="D75" s="2">
        <v>13000000</v>
      </c>
    </row>
    <row r="76" spans="1:4" x14ac:dyDescent="0.25">
      <c r="A76" t="s">
        <v>60</v>
      </c>
      <c r="B76" t="s">
        <v>240</v>
      </c>
      <c r="C76" t="s">
        <v>878</v>
      </c>
      <c r="D76" s="2">
        <v>12500000</v>
      </c>
    </row>
    <row r="77" spans="1:4" x14ac:dyDescent="0.25">
      <c r="A77" t="s">
        <v>34</v>
      </c>
      <c r="B77" t="s">
        <v>297</v>
      </c>
      <c r="C77" t="s">
        <v>0</v>
      </c>
      <c r="D77" s="2">
        <v>12000000</v>
      </c>
    </row>
    <row r="78" spans="1:4" x14ac:dyDescent="0.25">
      <c r="A78" t="s">
        <v>35</v>
      </c>
      <c r="B78" t="s">
        <v>32</v>
      </c>
      <c r="C78" t="s">
        <v>6</v>
      </c>
      <c r="D78" s="2">
        <v>12000000</v>
      </c>
    </row>
    <row r="79" spans="1:4" x14ac:dyDescent="0.25">
      <c r="A79" t="s">
        <v>59</v>
      </c>
      <c r="B79" t="s">
        <v>323</v>
      </c>
      <c r="C79" t="s">
        <v>882</v>
      </c>
      <c r="D79" s="2">
        <v>12000000</v>
      </c>
    </row>
    <row r="80" spans="1:4" x14ac:dyDescent="0.25">
      <c r="A80" t="s">
        <v>53</v>
      </c>
      <c r="B80" t="s">
        <v>71</v>
      </c>
      <c r="C80" t="s">
        <v>881</v>
      </c>
      <c r="D80" s="2">
        <v>12000000</v>
      </c>
    </row>
    <row r="81" spans="1:4" x14ac:dyDescent="0.25">
      <c r="A81" t="s">
        <v>59</v>
      </c>
      <c r="B81" t="s">
        <v>18</v>
      </c>
      <c r="C81" t="s">
        <v>878</v>
      </c>
      <c r="D81" s="2">
        <v>12000000</v>
      </c>
    </row>
    <row r="82" spans="1:4" x14ac:dyDescent="0.25">
      <c r="A82" t="s">
        <v>42</v>
      </c>
      <c r="B82" t="s">
        <v>651</v>
      </c>
      <c r="C82" t="s">
        <v>6</v>
      </c>
      <c r="D82" s="2">
        <v>11500000</v>
      </c>
    </row>
    <row r="83" spans="1:4" x14ac:dyDescent="0.25">
      <c r="A83" t="s">
        <v>48</v>
      </c>
      <c r="B83" t="s">
        <v>62</v>
      </c>
      <c r="C83" t="s">
        <v>882</v>
      </c>
      <c r="D83" s="2">
        <v>11500000</v>
      </c>
    </row>
    <row r="84" spans="1:4" x14ac:dyDescent="0.25">
      <c r="A84" t="s">
        <v>40</v>
      </c>
      <c r="B84" t="s">
        <v>231</v>
      </c>
      <c r="C84" t="s">
        <v>0</v>
      </c>
      <c r="D84" s="2">
        <v>11200000</v>
      </c>
    </row>
    <row r="85" spans="1:4" x14ac:dyDescent="0.25">
      <c r="A85" t="s">
        <v>54</v>
      </c>
      <c r="B85" t="s">
        <v>205</v>
      </c>
      <c r="C85" t="s">
        <v>0</v>
      </c>
      <c r="D85" s="2">
        <v>11000000</v>
      </c>
    </row>
    <row r="86" spans="1:4" x14ac:dyDescent="0.25">
      <c r="A86" t="s">
        <v>61</v>
      </c>
      <c r="B86" t="s">
        <v>170</v>
      </c>
      <c r="C86" t="s">
        <v>0</v>
      </c>
      <c r="D86" s="2">
        <v>11000000</v>
      </c>
    </row>
    <row r="87" spans="1:4" x14ac:dyDescent="0.25">
      <c r="A87" t="s">
        <v>60</v>
      </c>
      <c r="B87" t="s">
        <v>248</v>
      </c>
      <c r="C87" t="s">
        <v>883</v>
      </c>
      <c r="D87" s="2">
        <v>11000000</v>
      </c>
    </row>
    <row r="88" spans="1:4" x14ac:dyDescent="0.25">
      <c r="A88" t="s">
        <v>51</v>
      </c>
      <c r="B88" t="s">
        <v>282</v>
      </c>
      <c r="C88" t="s">
        <v>878</v>
      </c>
      <c r="D88" s="2">
        <v>11000000</v>
      </c>
    </row>
    <row r="89" spans="1:4" x14ac:dyDescent="0.25">
      <c r="A89" t="s">
        <v>39</v>
      </c>
      <c r="B89" t="s">
        <v>201</v>
      </c>
      <c r="C89" t="s">
        <v>878</v>
      </c>
      <c r="D89" s="2">
        <v>11000000</v>
      </c>
    </row>
    <row r="90" spans="1:4" x14ac:dyDescent="0.25">
      <c r="A90" t="s">
        <v>34</v>
      </c>
      <c r="B90" t="s">
        <v>730</v>
      </c>
      <c r="C90" t="s">
        <v>6</v>
      </c>
      <c r="D90" s="2">
        <v>10650000</v>
      </c>
    </row>
    <row r="91" spans="1:4" x14ac:dyDescent="0.25">
      <c r="A91" t="s">
        <v>61</v>
      </c>
      <c r="B91" t="s">
        <v>17</v>
      </c>
      <c r="C91" t="s">
        <v>1</v>
      </c>
      <c r="D91" s="2">
        <v>10500000</v>
      </c>
    </row>
    <row r="92" spans="1:4" x14ac:dyDescent="0.25">
      <c r="A92" t="s">
        <v>39</v>
      </c>
      <c r="B92" t="s">
        <v>173</v>
      </c>
      <c r="C92" t="s">
        <v>879</v>
      </c>
      <c r="D92" s="2">
        <v>10500000</v>
      </c>
    </row>
    <row r="93" spans="1:4" x14ac:dyDescent="0.25">
      <c r="A93" t="s">
        <v>42</v>
      </c>
      <c r="B93" t="s">
        <v>234</v>
      </c>
      <c r="C93" t="s">
        <v>882</v>
      </c>
      <c r="D93" s="2">
        <v>10275000</v>
      </c>
    </row>
    <row r="94" spans="1:4" x14ac:dyDescent="0.25">
      <c r="A94" t="s">
        <v>59</v>
      </c>
      <c r="B94" t="s">
        <v>220</v>
      </c>
      <c r="C94" t="s">
        <v>883</v>
      </c>
      <c r="D94" s="2">
        <v>10200000</v>
      </c>
    </row>
    <row r="95" spans="1:4" x14ac:dyDescent="0.25">
      <c r="A95" t="s">
        <v>60</v>
      </c>
      <c r="B95" t="s">
        <v>215</v>
      </c>
      <c r="C95" t="s">
        <v>1</v>
      </c>
      <c r="D95" s="2">
        <v>10000000</v>
      </c>
    </row>
    <row r="96" spans="1:4" x14ac:dyDescent="0.25">
      <c r="A96" t="s">
        <v>59</v>
      </c>
      <c r="B96" t="s">
        <v>93</v>
      </c>
      <c r="C96" t="s">
        <v>0</v>
      </c>
      <c r="D96" s="2">
        <v>10000000</v>
      </c>
    </row>
    <row r="97" spans="1:4" x14ac:dyDescent="0.25">
      <c r="A97" t="s">
        <v>43</v>
      </c>
      <c r="B97" t="s">
        <v>694</v>
      </c>
      <c r="C97" t="s">
        <v>0</v>
      </c>
      <c r="D97" s="2">
        <v>10000000</v>
      </c>
    </row>
    <row r="98" spans="1:4" x14ac:dyDescent="0.25">
      <c r="A98" t="s">
        <v>417</v>
      </c>
      <c r="B98" t="s">
        <v>28</v>
      </c>
      <c r="C98" t="s">
        <v>3</v>
      </c>
      <c r="D98" s="2">
        <v>10000000</v>
      </c>
    </row>
    <row r="99" spans="1:4" x14ac:dyDescent="0.25">
      <c r="A99" t="s">
        <v>50</v>
      </c>
      <c r="B99" t="s">
        <v>143</v>
      </c>
      <c r="C99" t="s">
        <v>883</v>
      </c>
      <c r="D99" s="2">
        <v>10000000</v>
      </c>
    </row>
    <row r="100" spans="1:4" x14ac:dyDescent="0.25">
      <c r="A100" t="s">
        <v>54</v>
      </c>
      <c r="B100" t="s">
        <v>178</v>
      </c>
      <c r="C100" t="s">
        <v>883</v>
      </c>
      <c r="D100" s="2">
        <v>10000000</v>
      </c>
    </row>
    <row r="101" spans="1:4" x14ac:dyDescent="0.25">
      <c r="A101" t="s">
        <v>47</v>
      </c>
      <c r="B101" t="s">
        <v>352</v>
      </c>
      <c r="C101" t="s">
        <v>878</v>
      </c>
      <c r="D101" s="2">
        <v>10000000</v>
      </c>
    </row>
    <row r="102" spans="1:4" x14ac:dyDescent="0.25">
      <c r="A102" t="s">
        <v>34</v>
      </c>
      <c r="B102" t="s">
        <v>223</v>
      </c>
      <c r="C102" t="s">
        <v>878</v>
      </c>
      <c r="D102" s="2">
        <v>10000000</v>
      </c>
    </row>
    <row r="103" spans="1:4" x14ac:dyDescent="0.25">
      <c r="A103" t="s">
        <v>50</v>
      </c>
      <c r="B103" t="s">
        <v>227</v>
      </c>
      <c r="C103" t="s">
        <v>2</v>
      </c>
      <c r="D103" s="2">
        <v>10000000</v>
      </c>
    </row>
    <row r="104" spans="1:4" x14ac:dyDescent="0.25">
      <c r="A104" t="s">
        <v>60</v>
      </c>
      <c r="B104" t="s">
        <v>287</v>
      </c>
      <c r="C104" t="s">
        <v>878</v>
      </c>
      <c r="D104" s="2">
        <v>9750000</v>
      </c>
    </row>
    <row r="105" spans="1:4" x14ac:dyDescent="0.25">
      <c r="A105" t="s">
        <v>47</v>
      </c>
      <c r="B105" t="s">
        <v>203</v>
      </c>
      <c r="C105" t="s">
        <v>3</v>
      </c>
      <c r="D105" s="2">
        <v>9625000</v>
      </c>
    </row>
    <row r="106" spans="1:4" x14ac:dyDescent="0.25">
      <c r="A106" t="s">
        <v>51</v>
      </c>
      <c r="B106" t="s">
        <v>144</v>
      </c>
      <c r="C106" t="s">
        <v>881</v>
      </c>
      <c r="D106" s="2">
        <v>9333333</v>
      </c>
    </row>
    <row r="107" spans="1:4" x14ac:dyDescent="0.25">
      <c r="A107" t="s">
        <v>58</v>
      </c>
      <c r="B107" t="s">
        <v>198</v>
      </c>
      <c r="C107" t="s">
        <v>3</v>
      </c>
      <c r="D107" s="2">
        <v>9000000</v>
      </c>
    </row>
    <row r="108" spans="1:4" x14ac:dyDescent="0.25">
      <c r="A108" t="s">
        <v>50</v>
      </c>
      <c r="B108" t="s">
        <v>204</v>
      </c>
      <c r="C108" t="s">
        <v>882</v>
      </c>
      <c r="D108" s="2">
        <v>9000000</v>
      </c>
    </row>
    <row r="109" spans="1:4" x14ac:dyDescent="0.25">
      <c r="A109" t="s">
        <v>41</v>
      </c>
      <c r="B109" t="s">
        <v>66</v>
      </c>
      <c r="C109" t="s">
        <v>878</v>
      </c>
      <c r="D109" s="2">
        <v>9000000</v>
      </c>
    </row>
    <row r="110" spans="1:4" x14ac:dyDescent="0.25">
      <c r="A110" t="s">
        <v>59</v>
      </c>
      <c r="B110" t="s">
        <v>326</v>
      </c>
      <c r="C110" t="s">
        <v>878</v>
      </c>
      <c r="D110" s="2">
        <v>8650000</v>
      </c>
    </row>
    <row r="111" spans="1:4" x14ac:dyDescent="0.25">
      <c r="A111" t="s">
        <v>60</v>
      </c>
      <c r="B111" t="s">
        <v>219</v>
      </c>
      <c r="C111" t="s">
        <v>878</v>
      </c>
      <c r="D111" s="2">
        <v>8625000</v>
      </c>
    </row>
    <row r="112" spans="1:4" x14ac:dyDescent="0.25">
      <c r="A112" t="s">
        <v>57</v>
      </c>
      <c r="B112" t="s">
        <v>10</v>
      </c>
      <c r="C112" t="s">
        <v>6</v>
      </c>
      <c r="D112" s="2">
        <v>8500000</v>
      </c>
    </row>
    <row r="113" spans="1:4" x14ac:dyDescent="0.25">
      <c r="A113" t="s">
        <v>42</v>
      </c>
      <c r="B113" t="s">
        <v>191</v>
      </c>
      <c r="C113" t="s">
        <v>878</v>
      </c>
      <c r="D113" s="2">
        <v>8500000</v>
      </c>
    </row>
    <row r="114" spans="1:4" x14ac:dyDescent="0.25">
      <c r="A114" t="s">
        <v>54</v>
      </c>
      <c r="B114" t="s">
        <v>163</v>
      </c>
      <c r="C114" t="s">
        <v>1</v>
      </c>
      <c r="D114" s="2">
        <v>8000000</v>
      </c>
    </row>
    <row r="115" spans="1:4" x14ac:dyDescent="0.25">
      <c r="A115" t="s">
        <v>57</v>
      </c>
      <c r="B115" t="s">
        <v>119</v>
      </c>
      <c r="C115" t="s">
        <v>4</v>
      </c>
      <c r="D115" s="2">
        <v>8000000</v>
      </c>
    </row>
    <row r="116" spans="1:4" x14ac:dyDescent="0.25">
      <c r="A116" t="s">
        <v>61</v>
      </c>
      <c r="B116" t="s">
        <v>217</v>
      </c>
      <c r="C116" t="s">
        <v>4</v>
      </c>
      <c r="D116" s="2">
        <v>8000000</v>
      </c>
    </row>
    <row r="117" spans="1:4" x14ac:dyDescent="0.25">
      <c r="A117" t="s">
        <v>50</v>
      </c>
      <c r="B117" t="s">
        <v>168</v>
      </c>
      <c r="C117" t="s">
        <v>3</v>
      </c>
      <c r="D117" s="2">
        <v>8000000</v>
      </c>
    </row>
    <row r="118" spans="1:4" x14ac:dyDescent="0.25">
      <c r="A118" t="s">
        <v>59</v>
      </c>
      <c r="B118" t="s">
        <v>102</v>
      </c>
      <c r="C118" t="s">
        <v>3</v>
      </c>
      <c r="D118" s="2">
        <v>8000000</v>
      </c>
    </row>
    <row r="119" spans="1:4" x14ac:dyDescent="0.25">
      <c r="A119" t="s">
        <v>40</v>
      </c>
      <c r="B119" t="s">
        <v>177</v>
      </c>
      <c r="C119" t="s">
        <v>879</v>
      </c>
      <c r="D119" s="2">
        <v>8000000</v>
      </c>
    </row>
    <row r="120" spans="1:4" x14ac:dyDescent="0.25">
      <c r="A120" t="s">
        <v>29</v>
      </c>
      <c r="B120" t="s">
        <v>90</v>
      </c>
      <c r="C120" t="s">
        <v>882</v>
      </c>
      <c r="D120" s="2">
        <v>8000000</v>
      </c>
    </row>
    <row r="121" spans="1:4" x14ac:dyDescent="0.25">
      <c r="A121" t="s">
        <v>54</v>
      </c>
      <c r="B121" t="s">
        <v>207</v>
      </c>
      <c r="C121" t="s">
        <v>880</v>
      </c>
      <c r="D121" s="2">
        <v>8000000</v>
      </c>
    </row>
    <row r="122" spans="1:4" x14ac:dyDescent="0.25">
      <c r="A122" t="s">
        <v>417</v>
      </c>
      <c r="B122" t="s">
        <v>210</v>
      </c>
      <c r="C122" t="s">
        <v>880</v>
      </c>
      <c r="D122" s="2">
        <v>8000000</v>
      </c>
    </row>
    <row r="123" spans="1:4" x14ac:dyDescent="0.25">
      <c r="A123" t="s">
        <v>48</v>
      </c>
      <c r="B123" t="s">
        <v>116</v>
      </c>
      <c r="C123" t="s">
        <v>883</v>
      </c>
      <c r="D123" s="2">
        <v>8000000</v>
      </c>
    </row>
    <row r="124" spans="1:4" x14ac:dyDescent="0.25">
      <c r="A124" t="s">
        <v>42</v>
      </c>
      <c r="B124" t="s">
        <v>264</v>
      </c>
      <c r="C124" t="s">
        <v>878</v>
      </c>
      <c r="D124" s="2">
        <v>8000000</v>
      </c>
    </row>
    <row r="125" spans="1:4" x14ac:dyDescent="0.25">
      <c r="A125" t="s">
        <v>42</v>
      </c>
      <c r="B125" t="s">
        <v>285</v>
      </c>
      <c r="C125" t="s">
        <v>878</v>
      </c>
      <c r="D125" s="2">
        <v>8000000</v>
      </c>
    </row>
    <row r="126" spans="1:4" x14ac:dyDescent="0.25">
      <c r="A126" t="s">
        <v>29</v>
      </c>
      <c r="B126" t="s">
        <v>87</v>
      </c>
      <c r="C126" t="s">
        <v>878</v>
      </c>
      <c r="D126" s="2">
        <v>8000000</v>
      </c>
    </row>
    <row r="127" spans="1:4" x14ac:dyDescent="0.25">
      <c r="A127" t="s">
        <v>34</v>
      </c>
      <c r="B127" t="s">
        <v>731</v>
      </c>
      <c r="C127" t="s">
        <v>1</v>
      </c>
      <c r="D127" s="2">
        <v>7900000</v>
      </c>
    </row>
    <row r="128" spans="1:4" x14ac:dyDescent="0.25">
      <c r="A128" t="s">
        <v>52</v>
      </c>
      <c r="B128" t="s">
        <v>166</v>
      </c>
      <c r="C128" t="s">
        <v>3</v>
      </c>
      <c r="D128" s="2">
        <v>7750000</v>
      </c>
    </row>
    <row r="129" spans="1:4" x14ac:dyDescent="0.25">
      <c r="A129" t="s">
        <v>61</v>
      </c>
      <c r="B129" t="s">
        <v>233</v>
      </c>
      <c r="C129" t="s">
        <v>881</v>
      </c>
      <c r="D129" s="2">
        <v>7750000</v>
      </c>
    </row>
    <row r="130" spans="1:4" x14ac:dyDescent="0.25">
      <c r="A130" t="s">
        <v>59</v>
      </c>
      <c r="B130" t="s">
        <v>194</v>
      </c>
      <c r="C130" t="s">
        <v>883</v>
      </c>
      <c r="D130" s="2">
        <v>7750000</v>
      </c>
    </row>
    <row r="131" spans="1:4" x14ac:dyDescent="0.25">
      <c r="A131" t="s">
        <v>44</v>
      </c>
      <c r="B131" t="s">
        <v>271</v>
      </c>
      <c r="C131" t="s">
        <v>1</v>
      </c>
      <c r="D131" s="2">
        <v>7700000</v>
      </c>
    </row>
    <row r="132" spans="1:4" x14ac:dyDescent="0.25">
      <c r="A132" t="s">
        <v>57</v>
      </c>
      <c r="B132" t="s">
        <v>267</v>
      </c>
      <c r="C132" t="s">
        <v>881</v>
      </c>
      <c r="D132" s="2">
        <v>7650000</v>
      </c>
    </row>
    <row r="133" spans="1:4" x14ac:dyDescent="0.25">
      <c r="A133" t="s">
        <v>54</v>
      </c>
      <c r="B133" t="s">
        <v>249</v>
      </c>
      <c r="C133" t="s">
        <v>1</v>
      </c>
      <c r="D133" s="2">
        <v>7500000</v>
      </c>
    </row>
    <row r="134" spans="1:4" x14ac:dyDescent="0.25">
      <c r="A134" t="s">
        <v>52</v>
      </c>
      <c r="B134" t="s">
        <v>105</v>
      </c>
      <c r="C134" t="s">
        <v>4</v>
      </c>
      <c r="D134" s="2">
        <v>7500000</v>
      </c>
    </row>
    <row r="135" spans="1:4" x14ac:dyDescent="0.25">
      <c r="A135" t="s">
        <v>56</v>
      </c>
      <c r="B135" t="s">
        <v>63</v>
      </c>
      <c r="C135" t="s">
        <v>880</v>
      </c>
      <c r="D135" s="2">
        <v>7500000</v>
      </c>
    </row>
    <row r="136" spans="1:4" x14ac:dyDescent="0.25">
      <c r="A136" t="s">
        <v>48</v>
      </c>
      <c r="B136" t="s">
        <v>258</v>
      </c>
      <c r="C136" t="s">
        <v>878</v>
      </c>
      <c r="D136" s="2">
        <v>7450000</v>
      </c>
    </row>
    <row r="137" spans="1:4" x14ac:dyDescent="0.25">
      <c r="A137" t="s">
        <v>59</v>
      </c>
      <c r="B137" t="s">
        <v>671</v>
      </c>
      <c r="C137" t="s">
        <v>1</v>
      </c>
      <c r="D137" s="2">
        <v>7400000</v>
      </c>
    </row>
    <row r="138" spans="1:4" x14ac:dyDescent="0.25">
      <c r="A138" t="s">
        <v>61</v>
      </c>
      <c r="B138" t="s">
        <v>259</v>
      </c>
      <c r="C138" t="s">
        <v>878</v>
      </c>
      <c r="D138" s="2">
        <v>7350000</v>
      </c>
    </row>
    <row r="139" spans="1:4" x14ac:dyDescent="0.25">
      <c r="A139" t="s">
        <v>57</v>
      </c>
      <c r="B139" t="s">
        <v>228</v>
      </c>
      <c r="C139" t="s">
        <v>880</v>
      </c>
      <c r="D139" s="2">
        <v>7300000</v>
      </c>
    </row>
    <row r="140" spans="1:4" x14ac:dyDescent="0.25">
      <c r="A140" t="s">
        <v>51</v>
      </c>
      <c r="B140" t="s">
        <v>77</v>
      </c>
      <c r="C140" t="s">
        <v>1</v>
      </c>
      <c r="D140" s="2">
        <v>7250000</v>
      </c>
    </row>
    <row r="141" spans="1:4" x14ac:dyDescent="0.25">
      <c r="A141" t="s">
        <v>40</v>
      </c>
      <c r="B141" t="s">
        <v>200</v>
      </c>
      <c r="C141" t="s">
        <v>880</v>
      </c>
      <c r="D141" s="2">
        <v>7250000</v>
      </c>
    </row>
    <row r="142" spans="1:4" x14ac:dyDescent="0.25">
      <c r="A142" t="s">
        <v>34</v>
      </c>
      <c r="B142" t="s">
        <v>225</v>
      </c>
      <c r="C142" t="s">
        <v>4</v>
      </c>
      <c r="D142" s="2">
        <v>7000000</v>
      </c>
    </row>
    <row r="143" spans="1:4" x14ac:dyDescent="0.25">
      <c r="A143" t="s">
        <v>54</v>
      </c>
      <c r="B143" t="s">
        <v>83</v>
      </c>
      <c r="C143" t="s">
        <v>3</v>
      </c>
      <c r="D143" s="2">
        <v>7000000</v>
      </c>
    </row>
    <row r="144" spans="1:4" x14ac:dyDescent="0.25">
      <c r="A144" t="s">
        <v>59</v>
      </c>
      <c r="B144" t="s">
        <v>252</v>
      </c>
      <c r="C144" t="s">
        <v>879</v>
      </c>
      <c r="D144" s="2">
        <v>7000000</v>
      </c>
    </row>
    <row r="145" spans="1:4" x14ac:dyDescent="0.25">
      <c r="A145" t="s">
        <v>47</v>
      </c>
      <c r="B145" t="s">
        <v>611</v>
      </c>
      <c r="C145" t="s">
        <v>881</v>
      </c>
      <c r="D145" s="2">
        <v>7000000</v>
      </c>
    </row>
    <row r="146" spans="1:4" x14ac:dyDescent="0.25">
      <c r="A146" t="s">
        <v>48</v>
      </c>
      <c r="B146" t="s">
        <v>104</v>
      </c>
      <c r="C146" t="s">
        <v>880</v>
      </c>
      <c r="D146" s="2">
        <v>7000000</v>
      </c>
    </row>
    <row r="147" spans="1:4" x14ac:dyDescent="0.25">
      <c r="A147" t="s">
        <v>56</v>
      </c>
      <c r="B147" t="s">
        <v>213</v>
      </c>
      <c r="C147" t="s">
        <v>880</v>
      </c>
      <c r="D147" s="2">
        <v>7000000</v>
      </c>
    </row>
    <row r="148" spans="1:4" x14ac:dyDescent="0.25">
      <c r="A148" t="s">
        <v>40</v>
      </c>
      <c r="B148" t="s">
        <v>134</v>
      </c>
      <c r="C148" t="s">
        <v>878</v>
      </c>
      <c r="D148" s="2">
        <v>7000000</v>
      </c>
    </row>
    <row r="149" spans="1:4" x14ac:dyDescent="0.25">
      <c r="A149" t="s">
        <v>51</v>
      </c>
      <c r="B149" t="s">
        <v>286</v>
      </c>
      <c r="C149" t="s">
        <v>878</v>
      </c>
      <c r="D149" s="2">
        <v>7000000</v>
      </c>
    </row>
    <row r="150" spans="1:4" x14ac:dyDescent="0.25">
      <c r="A150" t="s">
        <v>59</v>
      </c>
      <c r="B150" t="s">
        <v>153</v>
      </c>
      <c r="C150" t="s">
        <v>878</v>
      </c>
      <c r="D150" s="2">
        <v>7000000</v>
      </c>
    </row>
    <row r="151" spans="1:4" x14ac:dyDescent="0.25">
      <c r="A151" t="s">
        <v>44</v>
      </c>
      <c r="B151" t="s">
        <v>120</v>
      </c>
      <c r="C151" t="s">
        <v>878</v>
      </c>
      <c r="D151" s="2">
        <v>7000000</v>
      </c>
    </row>
    <row r="152" spans="1:4" x14ac:dyDescent="0.25">
      <c r="A152" t="s">
        <v>60</v>
      </c>
      <c r="B152" t="s">
        <v>699</v>
      </c>
      <c r="C152" t="s">
        <v>2</v>
      </c>
      <c r="D152" s="2">
        <v>7000000</v>
      </c>
    </row>
    <row r="153" spans="1:4" x14ac:dyDescent="0.25">
      <c r="A153" t="s">
        <v>47</v>
      </c>
      <c r="B153" t="s">
        <v>222</v>
      </c>
      <c r="C153" t="s">
        <v>882</v>
      </c>
      <c r="D153" s="2">
        <v>6850000</v>
      </c>
    </row>
    <row r="154" spans="1:4" x14ac:dyDescent="0.25">
      <c r="A154" t="s">
        <v>50</v>
      </c>
      <c r="B154" t="s">
        <v>748</v>
      </c>
      <c r="C154" t="s">
        <v>878</v>
      </c>
      <c r="D154" s="2">
        <v>6850000</v>
      </c>
    </row>
    <row r="155" spans="1:4" x14ac:dyDescent="0.25">
      <c r="A155" t="s">
        <v>57</v>
      </c>
      <c r="B155" t="s">
        <v>279</v>
      </c>
      <c r="C155" t="s">
        <v>878</v>
      </c>
      <c r="D155" s="2">
        <v>6800000</v>
      </c>
    </row>
    <row r="156" spans="1:4" x14ac:dyDescent="0.25">
      <c r="A156" t="s">
        <v>43</v>
      </c>
      <c r="B156" t="s">
        <v>695</v>
      </c>
      <c r="C156" t="s">
        <v>879</v>
      </c>
      <c r="D156" s="2">
        <v>6750000</v>
      </c>
    </row>
    <row r="157" spans="1:4" x14ac:dyDescent="0.25">
      <c r="A157" t="s">
        <v>56</v>
      </c>
      <c r="B157" t="s">
        <v>181</v>
      </c>
      <c r="C157" t="s">
        <v>878</v>
      </c>
      <c r="D157" s="2">
        <v>6750000</v>
      </c>
    </row>
    <row r="158" spans="1:4" x14ac:dyDescent="0.25">
      <c r="A158" t="s">
        <v>58</v>
      </c>
      <c r="B158" t="s">
        <v>291</v>
      </c>
      <c r="C158" t="s">
        <v>0</v>
      </c>
      <c r="D158" s="2">
        <v>6550000</v>
      </c>
    </row>
    <row r="159" spans="1:4" x14ac:dyDescent="0.25">
      <c r="A159" t="s">
        <v>48</v>
      </c>
      <c r="B159" t="s">
        <v>617</v>
      </c>
      <c r="C159" t="s">
        <v>882</v>
      </c>
      <c r="D159" s="2">
        <v>6500000</v>
      </c>
    </row>
    <row r="160" spans="1:4" x14ac:dyDescent="0.25">
      <c r="A160" t="s">
        <v>60</v>
      </c>
      <c r="B160" t="s">
        <v>114</v>
      </c>
      <c r="C160" t="s">
        <v>882</v>
      </c>
      <c r="D160" s="2">
        <v>6500000</v>
      </c>
    </row>
    <row r="161" spans="1:4" x14ac:dyDescent="0.25">
      <c r="A161" t="s">
        <v>57</v>
      </c>
      <c r="B161" t="s">
        <v>774</v>
      </c>
      <c r="C161" t="s">
        <v>878</v>
      </c>
      <c r="D161" s="2">
        <v>6500000</v>
      </c>
    </row>
    <row r="162" spans="1:4" x14ac:dyDescent="0.25">
      <c r="A162" t="s">
        <v>60</v>
      </c>
      <c r="B162" t="s">
        <v>238</v>
      </c>
      <c r="C162" t="s">
        <v>878</v>
      </c>
      <c r="D162" s="2">
        <v>6500000</v>
      </c>
    </row>
    <row r="163" spans="1:4" x14ac:dyDescent="0.25">
      <c r="A163" t="s">
        <v>39</v>
      </c>
      <c r="B163" t="s">
        <v>677</v>
      </c>
      <c r="C163" t="s">
        <v>4</v>
      </c>
      <c r="D163" s="2">
        <v>6250000</v>
      </c>
    </row>
    <row r="164" spans="1:4" x14ac:dyDescent="0.25">
      <c r="A164" t="s">
        <v>47</v>
      </c>
      <c r="B164" t="s">
        <v>158</v>
      </c>
      <c r="C164" t="s">
        <v>3</v>
      </c>
      <c r="D164" s="2">
        <v>6000000</v>
      </c>
    </row>
    <row r="165" spans="1:4" x14ac:dyDescent="0.25">
      <c r="A165" t="s">
        <v>40</v>
      </c>
      <c r="B165" t="s">
        <v>221</v>
      </c>
      <c r="C165" t="s">
        <v>882</v>
      </c>
      <c r="D165" s="2">
        <v>6000000</v>
      </c>
    </row>
    <row r="166" spans="1:4" x14ac:dyDescent="0.25">
      <c r="A166" t="s">
        <v>45</v>
      </c>
      <c r="B166" t="s">
        <v>22</v>
      </c>
      <c r="C166" t="s">
        <v>880</v>
      </c>
      <c r="D166" s="2">
        <v>6000000</v>
      </c>
    </row>
    <row r="167" spans="1:4" x14ac:dyDescent="0.25">
      <c r="A167" t="s">
        <v>44</v>
      </c>
      <c r="B167" t="s">
        <v>74</v>
      </c>
      <c r="C167" t="s">
        <v>880</v>
      </c>
      <c r="D167" s="2">
        <v>6000000</v>
      </c>
    </row>
    <row r="168" spans="1:4" x14ac:dyDescent="0.25">
      <c r="A168" t="s">
        <v>372</v>
      </c>
      <c r="B168" t="s">
        <v>754</v>
      </c>
      <c r="C168" t="s">
        <v>878</v>
      </c>
      <c r="D168" s="2">
        <v>6000000</v>
      </c>
    </row>
    <row r="169" spans="1:4" x14ac:dyDescent="0.25">
      <c r="A169" t="s">
        <v>417</v>
      </c>
      <c r="B169" t="s">
        <v>208</v>
      </c>
      <c r="C169" t="s">
        <v>878</v>
      </c>
      <c r="D169" s="2">
        <v>6000000</v>
      </c>
    </row>
    <row r="170" spans="1:4" x14ac:dyDescent="0.25">
      <c r="A170" t="s">
        <v>417</v>
      </c>
      <c r="B170" t="s">
        <v>180</v>
      </c>
      <c r="C170" t="s">
        <v>2</v>
      </c>
      <c r="D170" s="2">
        <v>6000000</v>
      </c>
    </row>
    <row r="171" spans="1:4" x14ac:dyDescent="0.25">
      <c r="A171" t="s">
        <v>52</v>
      </c>
      <c r="B171" t="s">
        <v>292</v>
      </c>
      <c r="C171" t="s">
        <v>0</v>
      </c>
      <c r="D171" s="2">
        <v>5800000</v>
      </c>
    </row>
    <row r="172" spans="1:4" x14ac:dyDescent="0.25">
      <c r="A172" t="s">
        <v>39</v>
      </c>
      <c r="B172" t="s">
        <v>218</v>
      </c>
      <c r="C172" t="s">
        <v>878</v>
      </c>
      <c r="D172" s="2">
        <v>5800000</v>
      </c>
    </row>
    <row r="173" spans="1:4" x14ac:dyDescent="0.25">
      <c r="A173" t="s">
        <v>29</v>
      </c>
      <c r="B173" t="s">
        <v>246</v>
      </c>
      <c r="C173" t="s">
        <v>881</v>
      </c>
      <c r="D173" s="2">
        <v>5600000</v>
      </c>
    </row>
    <row r="174" spans="1:4" x14ac:dyDescent="0.25">
      <c r="A174" t="s">
        <v>44</v>
      </c>
      <c r="B174" t="s">
        <v>328</v>
      </c>
      <c r="C174" t="s">
        <v>880</v>
      </c>
      <c r="D174" s="2">
        <v>5550000</v>
      </c>
    </row>
    <row r="175" spans="1:4" x14ac:dyDescent="0.25">
      <c r="A175" t="s">
        <v>48</v>
      </c>
      <c r="B175" t="s">
        <v>184</v>
      </c>
      <c r="C175" t="s">
        <v>4</v>
      </c>
      <c r="D175" s="2">
        <v>5500000</v>
      </c>
    </row>
    <row r="176" spans="1:4" x14ac:dyDescent="0.25">
      <c r="A176" t="s">
        <v>52</v>
      </c>
      <c r="B176" t="s">
        <v>68</v>
      </c>
      <c r="C176" t="s">
        <v>883</v>
      </c>
      <c r="D176" s="2">
        <v>5500000</v>
      </c>
    </row>
    <row r="177" spans="1:4" x14ac:dyDescent="0.25">
      <c r="A177" t="s">
        <v>46</v>
      </c>
      <c r="B177" t="s">
        <v>106</v>
      </c>
      <c r="C177" t="s">
        <v>878</v>
      </c>
      <c r="D177" s="2">
        <v>5500000</v>
      </c>
    </row>
    <row r="178" spans="1:4" x14ac:dyDescent="0.25">
      <c r="A178" t="s">
        <v>56</v>
      </c>
      <c r="B178" t="s">
        <v>172</v>
      </c>
      <c r="C178" t="s">
        <v>878</v>
      </c>
      <c r="D178" s="2">
        <v>5500000</v>
      </c>
    </row>
    <row r="179" spans="1:4" x14ac:dyDescent="0.25">
      <c r="A179" t="s">
        <v>61</v>
      </c>
      <c r="B179" t="s">
        <v>277</v>
      </c>
      <c r="C179" t="s">
        <v>878</v>
      </c>
      <c r="D179" s="2">
        <v>5500000</v>
      </c>
    </row>
    <row r="180" spans="1:4" x14ac:dyDescent="0.25">
      <c r="A180" t="s">
        <v>53</v>
      </c>
      <c r="B180" t="s">
        <v>183</v>
      </c>
      <c r="C180" t="s">
        <v>2</v>
      </c>
      <c r="D180" s="2">
        <v>5500000</v>
      </c>
    </row>
    <row r="181" spans="1:4" x14ac:dyDescent="0.25">
      <c r="A181" t="s">
        <v>35</v>
      </c>
      <c r="B181" t="s">
        <v>740</v>
      </c>
      <c r="C181" t="s">
        <v>6</v>
      </c>
      <c r="D181" s="2">
        <v>5450000</v>
      </c>
    </row>
    <row r="182" spans="1:4" x14ac:dyDescent="0.25">
      <c r="A182" t="s">
        <v>45</v>
      </c>
      <c r="B182" t="s">
        <v>746</v>
      </c>
      <c r="C182" t="s">
        <v>878</v>
      </c>
      <c r="D182" s="2">
        <v>5250000</v>
      </c>
    </row>
    <row r="183" spans="1:4" x14ac:dyDescent="0.25">
      <c r="A183" t="s">
        <v>31</v>
      </c>
      <c r="B183" t="s">
        <v>118</v>
      </c>
      <c r="C183" t="s">
        <v>882</v>
      </c>
      <c r="D183" s="2">
        <v>5200000</v>
      </c>
    </row>
    <row r="184" spans="1:4" x14ac:dyDescent="0.25">
      <c r="A184" t="s">
        <v>61</v>
      </c>
      <c r="B184" t="s">
        <v>324</v>
      </c>
      <c r="C184" t="s">
        <v>880</v>
      </c>
      <c r="D184" s="2">
        <v>5200000</v>
      </c>
    </row>
    <row r="185" spans="1:4" x14ac:dyDescent="0.25">
      <c r="A185" t="s">
        <v>29</v>
      </c>
      <c r="B185" t="s">
        <v>250</v>
      </c>
      <c r="C185" t="s">
        <v>878</v>
      </c>
      <c r="D185" s="2">
        <v>5100000</v>
      </c>
    </row>
    <row r="186" spans="1:4" x14ac:dyDescent="0.25">
      <c r="A186" t="s">
        <v>51</v>
      </c>
      <c r="B186" t="s">
        <v>301</v>
      </c>
      <c r="C186" t="s">
        <v>0</v>
      </c>
      <c r="D186" s="2">
        <v>5000000</v>
      </c>
    </row>
    <row r="187" spans="1:4" x14ac:dyDescent="0.25">
      <c r="A187" t="s">
        <v>54</v>
      </c>
      <c r="B187" t="s">
        <v>128</v>
      </c>
      <c r="C187" t="s">
        <v>3</v>
      </c>
      <c r="D187" s="2">
        <v>5000000</v>
      </c>
    </row>
    <row r="188" spans="1:4" x14ac:dyDescent="0.25">
      <c r="A188" t="s">
        <v>57</v>
      </c>
      <c r="B188" t="s">
        <v>235</v>
      </c>
      <c r="C188" t="s">
        <v>3</v>
      </c>
      <c r="D188" s="2">
        <v>5000000</v>
      </c>
    </row>
    <row r="189" spans="1:4" x14ac:dyDescent="0.25">
      <c r="A189" t="s">
        <v>50</v>
      </c>
      <c r="B189" t="s">
        <v>145</v>
      </c>
      <c r="C189" t="s">
        <v>882</v>
      </c>
      <c r="D189" s="2">
        <v>5000000</v>
      </c>
    </row>
    <row r="190" spans="1:4" x14ac:dyDescent="0.25">
      <c r="A190" t="s">
        <v>417</v>
      </c>
      <c r="B190" t="s">
        <v>86</v>
      </c>
      <c r="C190" t="s">
        <v>882</v>
      </c>
      <c r="D190" s="2">
        <v>5000000</v>
      </c>
    </row>
    <row r="191" spans="1:4" x14ac:dyDescent="0.25">
      <c r="A191" t="s">
        <v>60</v>
      </c>
      <c r="B191" t="s">
        <v>847</v>
      </c>
      <c r="C191" t="s">
        <v>880</v>
      </c>
      <c r="D191" s="2">
        <v>5000000</v>
      </c>
    </row>
    <row r="192" spans="1:4" x14ac:dyDescent="0.25">
      <c r="A192" t="s">
        <v>50</v>
      </c>
      <c r="B192" t="s">
        <v>101</v>
      </c>
      <c r="C192" t="s">
        <v>878</v>
      </c>
      <c r="D192" s="2">
        <v>5000000</v>
      </c>
    </row>
    <row r="193" spans="1:4" x14ac:dyDescent="0.25">
      <c r="A193" t="s">
        <v>40</v>
      </c>
      <c r="B193" t="s">
        <v>162</v>
      </c>
      <c r="C193" t="s">
        <v>878</v>
      </c>
      <c r="D193" s="2">
        <v>5000000</v>
      </c>
    </row>
    <row r="194" spans="1:4" x14ac:dyDescent="0.25">
      <c r="A194" t="s">
        <v>417</v>
      </c>
      <c r="B194" t="s">
        <v>308</v>
      </c>
      <c r="C194" t="s">
        <v>878</v>
      </c>
      <c r="D194" s="2">
        <v>5000000</v>
      </c>
    </row>
    <row r="195" spans="1:4" x14ac:dyDescent="0.25">
      <c r="A195" t="s">
        <v>51</v>
      </c>
      <c r="B195" t="s">
        <v>109</v>
      </c>
      <c r="C195" t="s">
        <v>2</v>
      </c>
      <c r="D195" s="2">
        <v>5000000</v>
      </c>
    </row>
    <row r="196" spans="1:4" x14ac:dyDescent="0.25">
      <c r="A196" t="s">
        <v>61</v>
      </c>
      <c r="B196" t="s">
        <v>303</v>
      </c>
      <c r="C196" t="s">
        <v>2</v>
      </c>
      <c r="D196" s="2">
        <v>5000000</v>
      </c>
    </row>
    <row r="197" spans="1:4" x14ac:dyDescent="0.25">
      <c r="A197" t="s">
        <v>58</v>
      </c>
      <c r="B197" t="s">
        <v>211</v>
      </c>
      <c r="C197" t="s">
        <v>880</v>
      </c>
      <c r="D197" s="2">
        <v>4950000</v>
      </c>
    </row>
    <row r="198" spans="1:4" x14ac:dyDescent="0.25">
      <c r="A198" t="s">
        <v>372</v>
      </c>
      <c r="B198" t="s">
        <v>290</v>
      </c>
      <c r="C198" t="s">
        <v>2</v>
      </c>
      <c r="D198" s="2">
        <v>4950000</v>
      </c>
    </row>
    <row r="199" spans="1:4" x14ac:dyDescent="0.25">
      <c r="A199" t="s">
        <v>55</v>
      </c>
      <c r="B199" t="s">
        <v>306</v>
      </c>
      <c r="C199" t="s">
        <v>880</v>
      </c>
      <c r="D199" s="2">
        <v>4825000</v>
      </c>
    </row>
    <row r="200" spans="1:4" x14ac:dyDescent="0.25">
      <c r="A200" t="s">
        <v>51</v>
      </c>
      <c r="B200" t="s">
        <v>253</v>
      </c>
      <c r="C200" t="s">
        <v>880</v>
      </c>
      <c r="D200" s="2">
        <v>4775000</v>
      </c>
    </row>
    <row r="201" spans="1:4" x14ac:dyDescent="0.25">
      <c r="A201" t="s">
        <v>31</v>
      </c>
      <c r="B201" t="s">
        <v>272</v>
      </c>
      <c r="C201" t="s">
        <v>883</v>
      </c>
      <c r="D201" s="2">
        <v>4750000</v>
      </c>
    </row>
    <row r="202" spans="1:4" x14ac:dyDescent="0.25">
      <c r="A202" t="s">
        <v>39</v>
      </c>
      <c r="B202" t="s">
        <v>679</v>
      </c>
      <c r="C202" t="s">
        <v>879</v>
      </c>
      <c r="D202" s="2">
        <v>4700000</v>
      </c>
    </row>
    <row r="203" spans="1:4" x14ac:dyDescent="0.25">
      <c r="A203" t="s">
        <v>39</v>
      </c>
      <c r="B203" t="s">
        <v>678</v>
      </c>
      <c r="C203" t="s">
        <v>2</v>
      </c>
      <c r="D203" s="2">
        <v>4700000</v>
      </c>
    </row>
    <row r="204" spans="1:4" x14ac:dyDescent="0.25">
      <c r="A204" t="s">
        <v>57</v>
      </c>
      <c r="B204" t="s">
        <v>659</v>
      </c>
      <c r="C204" t="s">
        <v>2</v>
      </c>
      <c r="D204" s="2">
        <v>4600000</v>
      </c>
    </row>
    <row r="205" spans="1:4" x14ac:dyDescent="0.25">
      <c r="A205" t="s">
        <v>53</v>
      </c>
      <c r="B205" t="s">
        <v>653</v>
      </c>
      <c r="C205" t="s">
        <v>0</v>
      </c>
      <c r="D205" s="2">
        <v>4550000</v>
      </c>
    </row>
    <row r="206" spans="1:4" x14ac:dyDescent="0.25">
      <c r="A206" t="s">
        <v>47</v>
      </c>
      <c r="B206" t="s">
        <v>613</v>
      </c>
      <c r="C206" t="s">
        <v>6</v>
      </c>
      <c r="D206" s="2">
        <v>4550000</v>
      </c>
    </row>
    <row r="207" spans="1:4" x14ac:dyDescent="0.25">
      <c r="A207" t="s">
        <v>55</v>
      </c>
      <c r="B207" t="s">
        <v>330</v>
      </c>
      <c r="C207" t="s">
        <v>1</v>
      </c>
      <c r="D207" s="2">
        <v>4500000</v>
      </c>
    </row>
    <row r="208" spans="1:4" x14ac:dyDescent="0.25">
      <c r="A208" t="s">
        <v>49</v>
      </c>
      <c r="B208" t="s">
        <v>345</v>
      </c>
      <c r="C208" t="s">
        <v>4</v>
      </c>
      <c r="D208" s="2">
        <v>4500000</v>
      </c>
    </row>
    <row r="209" spans="1:4" x14ac:dyDescent="0.25">
      <c r="A209" t="s">
        <v>55</v>
      </c>
      <c r="B209" t="s">
        <v>319</v>
      </c>
      <c r="C209" t="s">
        <v>879</v>
      </c>
      <c r="D209" s="2">
        <v>4500000</v>
      </c>
    </row>
    <row r="210" spans="1:4" x14ac:dyDescent="0.25">
      <c r="A210" t="s">
        <v>45</v>
      </c>
      <c r="B210" t="s">
        <v>12</v>
      </c>
      <c r="C210" t="s">
        <v>880</v>
      </c>
      <c r="D210" s="2">
        <v>4500000</v>
      </c>
    </row>
    <row r="211" spans="1:4" x14ac:dyDescent="0.25">
      <c r="A211" t="s">
        <v>53</v>
      </c>
      <c r="B211" t="s">
        <v>307</v>
      </c>
      <c r="C211" t="s">
        <v>0</v>
      </c>
      <c r="D211" s="2">
        <v>4475000</v>
      </c>
    </row>
    <row r="212" spans="1:4" x14ac:dyDescent="0.25">
      <c r="A212" t="s">
        <v>54</v>
      </c>
      <c r="B212" t="s">
        <v>175</v>
      </c>
      <c r="C212" t="s">
        <v>2</v>
      </c>
      <c r="D212" s="2">
        <v>4450000</v>
      </c>
    </row>
    <row r="213" spans="1:4" x14ac:dyDescent="0.25">
      <c r="A213" t="s">
        <v>51</v>
      </c>
      <c r="B213" t="s">
        <v>350</v>
      </c>
      <c r="C213" t="s">
        <v>883</v>
      </c>
      <c r="D213" s="2">
        <v>4400000</v>
      </c>
    </row>
    <row r="214" spans="1:4" x14ac:dyDescent="0.25">
      <c r="A214" t="s">
        <v>29</v>
      </c>
      <c r="B214" t="s">
        <v>859</v>
      </c>
      <c r="C214" t="s">
        <v>880</v>
      </c>
      <c r="D214" s="2">
        <v>4250000</v>
      </c>
    </row>
    <row r="215" spans="1:4" x14ac:dyDescent="0.25">
      <c r="A215" t="s">
        <v>47</v>
      </c>
      <c r="B215" t="s">
        <v>92</v>
      </c>
      <c r="C215" t="s">
        <v>878</v>
      </c>
      <c r="D215" s="2">
        <v>4250000</v>
      </c>
    </row>
    <row r="216" spans="1:4" x14ac:dyDescent="0.25">
      <c r="A216" t="s">
        <v>48</v>
      </c>
      <c r="B216" t="s">
        <v>16</v>
      </c>
      <c r="C216" t="s">
        <v>878</v>
      </c>
      <c r="D216" s="2">
        <v>4200000</v>
      </c>
    </row>
    <row r="217" spans="1:4" x14ac:dyDescent="0.25">
      <c r="A217" t="s">
        <v>51</v>
      </c>
      <c r="B217" t="s">
        <v>67</v>
      </c>
      <c r="C217" t="s">
        <v>880</v>
      </c>
      <c r="D217" s="2">
        <v>4100000</v>
      </c>
    </row>
    <row r="218" spans="1:4" x14ac:dyDescent="0.25">
      <c r="A218" t="s">
        <v>59</v>
      </c>
      <c r="B218" t="s">
        <v>230</v>
      </c>
      <c r="C218" t="s">
        <v>6</v>
      </c>
      <c r="D218" s="2">
        <v>4025000</v>
      </c>
    </row>
    <row r="219" spans="1:4" x14ac:dyDescent="0.25">
      <c r="A219" t="s">
        <v>48</v>
      </c>
      <c r="B219" t="s">
        <v>113</v>
      </c>
      <c r="C219" t="s">
        <v>4</v>
      </c>
      <c r="D219" s="2">
        <v>4000000</v>
      </c>
    </row>
    <row r="220" spans="1:4" x14ac:dyDescent="0.25">
      <c r="A220" t="s">
        <v>35</v>
      </c>
      <c r="B220" t="s">
        <v>78</v>
      </c>
      <c r="C220" t="s">
        <v>4</v>
      </c>
      <c r="D220" s="2">
        <v>4000000</v>
      </c>
    </row>
    <row r="221" spans="1:4" x14ac:dyDescent="0.25">
      <c r="A221" t="s">
        <v>372</v>
      </c>
      <c r="B221" t="s">
        <v>269</v>
      </c>
      <c r="C221" t="s">
        <v>3</v>
      </c>
      <c r="D221" s="2">
        <v>4000000</v>
      </c>
    </row>
    <row r="222" spans="1:4" x14ac:dyDescent="0.25">
      <c r="A222" t="s">
        <v>50</v>
      </c>
      <c r="B222" t="s">
        <v>85</v>
      </c>
      <c r="C222" t="s">
        <v>880</v>
      </c>
      <c r="D222" s="2">
        <v>4000000</v>
      </c>
    </row>
    <row r="223" spans="1:4" x14ac:dyDescent="0.25">
      <c r="A223" t="s">
        <v>59</v>
      </c>
      <c r="B223" t="s">
        <v>65</v>
      </c>
      <c r="C223" t="s">
        <v>880</v>
      </c>
      <c r="D223" s="2">
        <v>4000000</v>
      </c>
    </row>
    <row r="224" spans="1:4" x14ac:dyDescent="0.25">
      <c r="A224" t="s">
        <v>60</v>
      </c>
      <c r="B224" t="s">
        <v>346</v>
      </c>
      <c r="C224" t="s">
        <v>880</v>
      </c>
      <c r="D224" s="2">
        <v>4000000</v>
      </c>
    </row>
    <row r="225" spans="1:4" x14ac:dyDescent="0.25">
      <c r="A225" t="s">
        <v>60</v>
      </c>
      <c r="B225" t="s">
        <v>88</v>
      </c>
      <c r="C225" t="s">
        <v>880</v>
      </c>
      <c r="D225" s="2">
        <v>4000000</v>
      </c>
    </row>
    <row r="226" spans="1:4" x14ac:dyDescent="0.25">
      <c r="A226" t="s">
        <v>34</v>
      </c>
      <c r="B226" t="s">
        <v>160</v>
      </c>
      <c r="C226" t="s">
        <v>880</v>
      </c>
      <c r="D226" s="2">
        <v>4000000</v>
      </c>
    </row>
    <row r="227" spans="1:4" x14ac:dyDescent="0.25">
      <c r="A227" t="s">
        <v>58</v>
      </c>
      <c r="B227" t="s">
        <v>176</v>
      </c>
      <c r="C227" t="s">
        <v>878</v>
      </c>
      <c r="D227" s="2">
        <v>4000000</v>
      </c>
    </row>
    <row r="228" spans="1:4" x14ac:dyDescent="0.25">
      <c r="A228" t="s">
        <v>31</v>
      </c>
      <c r="B228" t="s">
        <v>129</v>
      </c>
      <c r="C228" t="s">
        <v>878</v>
      </c>
      <c r="D228" s="2">
        <v>4000000</v>
      </c>
    </row>
    <row r="229" spans="1:4" x14ac:dyDescent="0.25">
      <c r="A229" t="s">
        <v>56</v>
      </c>
      <c r="B229" t="s">
        <v>648</v>
      </c>
      <c r="C229" t="s">
        <v>2</v>
      </c>
      <c r="D229" s="2">
        <v>4000000</v>
      </c>
    </row>
    <row r="230" spans="1:4" x14ac:dyDescent="0.25">
      <c r="A230" t="s">
        <v>50</v>
      </c>
      <c r="B230" t="s">
        <v>597</v>
      </c>
      <c r="C230" t="s">
        <v>0</v>
      </c>
      <c r="D230" s="2">
        <v>3950000</v>
      </c>
    </row>
    <row r="231" spans="1:4" x14ac:dyDescent="0.25">
      <c r="A231" t="s">
        <v>34</v>
      </c>
      <c r="B231" t="s">
        <v>732</v>
      </c>
      <c r="C231" t="s">
        <v>881</v>
      </c>
      <c r="D231" s="2">
        <v>3950000</v>
      </c>
    </row>
    <row r="232" spans="1:4" x14ac:dyDescent="0.25">
      <c r="A232" t="s">
        <v>59</v>
      </c>
      <c r="B232" t="s">
        <v>232</v>
      </c>
      <c r="C232" t="s">
        <v>880</v>
      </c>
      <c r="D232" s="2">
        <v>3925000</v>
      </c>
    </row>
    <row r="233" spans="1:4" x14ac:dyDescent="0.25">
      <c r="A233" t="s">
        <v>59</v>
      </c>
      <c r="B233" t="s">
        <v>224</v>
      </c>
      <c r="C233" t="s">
        <v>880</v>
      </c>
      <c r="D233" s="2">
        <v>3900000</v>
      </c>
    </row>
    <row r="234" spans="1:4" x14ac:dyDescent="0.25">
      <c r="A234" t="s">
        <v>34</v>
      </c>
      <c r="B234" t="s">
        <v>261</v>
      </c>
      <c r="C234" t="s">
        <v>878</v>
      </c>
      <c r="D234" s="2">
        <v>3790000</v>
      </c>
    </row>
    <row r="235" spans="1:4" x14ac:dyDescent="0.25">
      <c r="A235" t="s">
        <v>41</v>
      </c>
      <c r="B235" t="s">
        <v>704</v>
      </c>
      <c r="C235" t="s">
        <v>879</v>
      </c>
      <c r="D235" s="2">
        <v>3700000</v>
      </c>
    </row>
    <row r="236" spans="1:4" x14ac:dyDescent="0.25">
      <c r="A236" t="s">
        <v>40</v>
      </c>
      <c r="B236" t="s">
        <v>606</v>
      </c>
      <c r="C236" t="s">
        <v>882</v>
      </c>
      <c r="D236" s="2">
        <v>3550000</v>
      </c>
    </row>
    <row r="237" spans="1:4" x14ac:dyDescent="0.25">
      <c r="A237" t="s">
        <v>41</v>
      </c>
      <c r="B237" t="s">
        <v>156</v>
      </c>
      <c r="C237" t="s">
        <v>6</v>
      </c>
      <c r="D237" s="2">
        <v>3500000</v>
      </c>
    </row>
    <row r="238" spans="1:4" x14ac:dyDescent="0.25">
      <c r="A238" t="s">
        <v>48</v>
      </c>
      <c r="B238" t="s">
        <v>100</v>
      </c>
      <c r="C238" t="s">
        <v>880</v>
      </c>
      <c r="D238" s="2">
        <v>3500000</v>
      </c>
    </row>
    <row r="239" spans="1:4" x14ac:dyDescent="0.25">
      <c r="A239" t="s">
        <v>59</v>
      </c>
      <c r="B239" t="s">
        <v>226</v>
      </c>
      <c r="C239" t="s">
        <v>880</v>
      </c>
      <c r="D239" s="2">
        <v>3500000</v>
      </c>
    </row>
    <row r="240" spans="1:4" x14ac:dyDescent="0.25">
      <c r="A240" t="s">
        <v>44</v>
      </c>
      <c r="B240" t="s">
        <v>5</v>
      </c>
      <c r="C240" t="s">
        <v>880</v>
      </c>
      <c r="D240" s="2">
        <v>3500000</v>
      </c>
    </row>
    <row r="241" spans="1:4" x14ac:dyDescent="0.25">
      <c r="A241" t="s">
        <v>53</v>
      </c>
      <c r="B241" t="s">
        <v>771</v>
      </c>
      <c r="C241" t="s">
        <v>878</v>
      </c>
      <c r="D241" s="2">
        <v>3500000</v>
      </c>
    </row>
    <row r="242" spans="1:4" x14ac:dyDescent="0.25">
      <c r="A242" t="s">
        <v>42</v>
      </c>
      <c r="B242" t="s">
        <v>182</v>
      </c>
      <c r="C242" t="s">
        <v>880</v>
      </c>
      <c r="D242" s="2">
        <v>3450000</v>
      </c>
    </row>
    <row r="243" spans="1:4" x14ac:dyDescent="0.25">
      <c r="A243" t="s">
        <v>45</v>
      </c>
      <c r="B243" t="s">
        <v>587</v>
      </c>
      <c r="C243" t="s">
        <v>3</v>
      </c>
      <c r="D243" s="2">
        <v>3325000</v>
      </c>
    </row>
    <row r="244" spans="1:4" x14ac:dyDescent="0.25">
      <c r="A244" t="s">
        <v>29</v>
      </c>
      <c r="B244" t="s">
        <v>190</v>
      </c>
      <c r="C244" t="s">
        <v>1</v>
      </c>
      <c r="D244" s="2">
        <v>3200000</v>
      </c>
    </row>
    <row r="245" spans="1:4" x14ac:dyDescent="0.25">
      <c r="A245" t="s">
        <v>49</v>
      </c>
      <c r="B245" t="s">
        <v>296</v>
      </c>
      <c r="C245" t="s">
        <v>2</v>
      </c>
      <c r="D245" s="2">
        <v>3155000</v>
      </c>
    </row>
    <row r="246" spans="1:4" x14ac:dyDescent="0.25">
      <c r="A246" t="s">
        <v>46</v>
      </c>
      <c r="B246" t="s">
        <v>302</v>
      </c>
      <c r="C246" t="s">
        <v>881</v>
      </c>
      <c r="D246" s="2">
        <v>3150000</v>
      </c>
    </row>
    <row r="247" spans="1:4" x14ac:dyDescent="0.25">
      <c r="A247" t="s">
        <v>59</v>
      </c>
      <c r="B247" t="s">
        <v>672</v>
      </c>
      <c r="C247" t="s">
        <v>4</v>
      </c>
      <c r="D247" s="2">
        <v>3000000</v>
      </c>
    </row>
    <row r="248" spans="1:4" x14ac:dyDescent="0.25">
      <c r="A248" t="s">
        <v>51</v>
      </c>
      <c r="B248" t="s">
        <v>237</v>
      </c>
      <c r="C248" t="s">
        <v>3</v>
      </c>
      <c r="D248" s="2">
        <v>3000000</v>
      </c>
    </row>
    <row r="249" spans="1:4" x14ac:dyDescent="0.25">
      <c r="A249" t="s">
        <v>56</v>
      </c>
      <c r="B249" t="s">
        <v>245</v>
      </c>
      <c r="C249" t="s">
        <v>3</v>
      </c>
      <c r="D249" s="2">
        <v>3000000</v>
      </c>
    </row>
    <row r="250" spans="1:4" x14ac:dyDescent="0.25">
      <c r="A250" t="s">
        <v>59</v>
      </c>
      <c r="B250" t="s">
        <v>336</v>
      </c>
      <c r="C250" t="s">
        <v>6</v>
      </c>
      <c r="D250" s="2">
        <v>3000000</v>
      </c>
    </row>
    <row r="251" spans="1:4" x14ac:dyDescent="0.25">
      <c r="A251" t="s">
        <v>40</v>
      </c>
      <c r="B251" t="s">
        <v>804</v>
      </c>
      <c r="C251" t="s">
        <v>880</v>
      </c>
      <c r="D251" s="2">
        <v>3000000</v>
      </c>
    </row>
    <row r="252" spans="1:4" x14ac:dyDescent="0.25">
      <c r="A252" t="s">
        <v>48</v>
      </c>
      <c r="B252" t="s">
        <v>338</v>
      </c>
      <c r="C252" t="s">
        <v>880</v>
      </c>
      <c r="D252" s="2">
        <v>3000000</v>
      </c>
    </row>
    <row r="253" spans="1:4" x14ac:dyDescent="0.25">
      <c r="A253" t="s">
        <v>39</v>
      </c>
      <c r="B253" t="s">
        <v>835</v>
      </c>
      <c r="C253" t="s">
        <v>880</v>
      </c>
      <c r="D253" s="2">
        <v>3000000</v>
      </c>
    </row>
    <row r="254" spans="1:4" x14ac:dyDescent="0.25">
      <c r="A254" t="s">
        <v>60</v>
      </c>
      <c r="B254" t="s">
        <v>123</v>
      </c>
      <c r="C254" t="s">
        <v>880</v>
      </c>
      <c r="D254" s="2">
        <v>3000000</v>
      </c>
    </row>
    <row r="255" spans="1:4" x14ac:dyDescent="0.25">
      <c r="A255" t="s">
        <v>60</v>
      </c>
      <c r="B255" t="s">
        <v>312</v>
      </c>
      <c r="C255" t="s">
        <v>880</v>
      </c>
      <c r="D255" s="2">
        <v>3000000</v>
      </c>
    </row>
    <row r="256" spans="1:4" x14ac:dyDescent="0.25">
      <c r="A256" t="s">
        <v>34</v>
      </c>
      <c r="B256" t="s">
        <v>344</v>
      </c>
      <c r="C256" t="s">
        <v>880</v>
      </c>
      <c r="D256" s="2">
        <v>3000000</v>
      </c>
    </row>
    <row r="257" spans="1:4" x14ac:dyDescent="0.25">
      <c r="A257" t="s">
        <v>53</v>
      </c>
      <c r="B257" t="s">
        <v>654</v>
      </c>
      <c r="C257" t="s">
        <v>883</v>
      </c>
      <c r="D257" s="2">
        <v>3000000</v>
      </c>
    </row>
    <row r="258" spans="1:4" x14ac:dyDescent="0.25">
      <c r="A258" t="s">
        <v>54</v>
      </c>
      <c r="B258" t="s">
        <v>760</v>
      </c>
      <c r="C258" t="s">
        <v>878</v>
      </c>
      <c r="D258" s="2">
        <v>3000000</v>
      </c>
    </row>
    <row r="259" spans="1:4" x14ac:dyDescent="0.25">
      <c r="A259" t="s">
        <v>55</v>
      </c>
      <c r="B259" t="s">
        <v>276</v>
      </c>
      <c r="C259" t="s">
        <v>880</v>
      </c>
      <c r="D259" s="2">
        <v>2875000</v>
      </c>
    </row>
    <row r="260" spans="1:4" x14ac:dyDescent="0.25">
      <c r="A260" t="s">
        <v>29</v>
      </c>
      <c r="B260" t="s">
        <v>335</v>
      </c>
      <c r="C260" t="s">
        <v>0</v>
      </c>
      <c r="D260" s="2">
        <v>2800000</v>
      </c>
    </row>
    <row r="261" spans="1:4" x14ac:dyDescent="0.25">
      <c r="A261" t="s">
        <v>41</v>
      </c>
      <c r="B261" t="s">
        <v>280</v>
      </c>
      <c r="C261" t="s">
        <v>0</v>
      </c>
      <c r="D261" s="2">
        <v>2760000</v>
      </c>
    </row>
    <row r="262" spans="1:4" x14ac:dyDescent="0.25">
      <c r="A262" t="s">
        <v>61</v>
      </c>
      <c r="B262" t="s">
        <v>853</v>
      </c>
      <c r="C262" t="s">
        <v>880</v>
      </c>
      <c r="D262" s="2">
        <v>2750000</v>
      </c>
    </row>
    <row r="263" spans="1:4" x14ac:dyDescent="0.25">
      <c r="A263" t="s">
        <v>60</v>
      </c>
      <c r="B263" t="s">
        <v>300</v>
      </c>
      <c r="C263" t="s">
        <v>3</v>
      </c>
      <c r="D263" s="2">
        <v>2725000</v>
      </c>
    </row>
    <row r="264" spans="1:4" x14ac:dyDescent="0.25">
      <c r="A264" t="s">
        <v>25</v>
      </c>
      <c r="B264" t="s">
        <v>281</v>
      </c>
      <c r="C264" t="s">
        <v>882</v>
      </c>
      <c r="D264" s="2">
        <v>2725000</v>
      </c>
    </row>
    <row r="265" spans="1:4" x14ac:dyDescent="0.25">
      <c r="A265" t="s">
        <v>54</v>
      </c>
      <c r="B265" t="s">
        <v>142</v>
      </c>
      <c r="C265" t="s">
        <v>880</v>
      </c>
      <c r="D265" s="2">
        <v>2725000</v>
      </c>
    </row>
    <row r="266" spans="1:4" x14ac:dyDescent="0.25">
      <c r="A266" t="s">
        <v>57</v>
      </c>
      <c r="B266" t="s">
        <v>247</v>
      </c>
      <c r="C266" t="s">
        <v>880</v>
      </c>
      <c r="D266" s="2">
        <v>2700000</v>
      </c>
    </row>
    <row r="267" spans="1:4" x14ac:dyDescent="0.25">
      <c r="A267" t="s">
        <v>417</v>
      </c>
      <c r="B267" t="s">
        <v>270</v>
      </c>
      <c r="C267" t="s">
        <v>880</v>
      </c>
      <c r="D267" s="2">
        <v>2700000</v>
      </c>
    </row>
    <row r="268" spans="1:4" x14ac:dyDescent="0.25">
      <c r="A268" t="s">
        <v>40</v>
      </c>
      <c r="B268" t="s">
        <v>275</v>
      </c>
      <c r="C268" t="s">
        <v>878</v>
      </c>
      <c r="D268" s="2">
        <v>2650000</v>
      </c>
    </row>
    <row r="269" spans="1:4" x14ac:dyDescent="0.25">
      <c r="A269" t="s">
        <v>48</v>
      </c>
      <c r="B269" t="s">
        <v>260</v>
      </c>
      <c r="C269" t="s">
        <v>880</v>
      </c>
      <c r="D269" s="2">
        <v>2625000</v>
      </c>
    </row>
    <row r="270" spans="1:4" x14ac:dyDescent="0.25">
      <c r="A270" t="s">
        <v>39</v>
      </c>
      <c r="B270" t="s">
        <v>135</v>
      </c>
      <c r="C270" t="s">
        <v>880</v>
      </c>
      <c r="D270" s="2">
        <v>2620000</v>
      </c>
    </row>
    <row r="271" spans="1:4" x14ac:dyDescent="0.25">
      <c r="A271" t="s">
        <v>45</v>
      </c>
      <c r="B271" t="s">
        <v>588</v>
      </c>
      <c r="C271" t="s">
        <v>1</v>
      </c>
      <c r="D271" s="2">
        <v>2600000</v>
      </c>
    </row>
    <row r="272" spans="1:4" x14ac:dyDescent="0.25">
      <c r="A272" t="s">
        <v>42</v>
      </c>
      <c r="B272" t="s">
        <v>255</v>
      </c>
      <c r="C272" t="s">
        <v>3</v>
      </c>
      <c r="D272" s="2">
        <v>2600000</v>
      </c>
    </row>
    <row r="273" spans="1:4" x14ac:dyDescent="0.25">
      <c r="A273" t="s">
        <v>61</v>
      </c>
      <c r="B273" t="s">
        <v>339</v>
      </c>
      <c r="C273" t="s">
        <v>3</v>
      </c>
      <c r="D273" s="2">
        <v>2600000</v>
      </c>
    </row>
    <row r="274" spans="1:4" x14ac:dyDescent="0.25">
      <c r="A274" t="s">
        <v>57</v>
      </c>
      <c r="B274" t="s">
        <v>660</v>
      </c>
      <c r="C274" t="s">
        <v>4</v>
      </c>
      <c r="D274" s="2">
        <v>2550000</v>
      </c>
    </row>
    <row r="275" spans="1:4" x14ac:dyDescent="0.25">
      <c r="A275" t="s">
        <v>55</v>
      </c>
      <c r="B275" t="s">
        <v>643</v>
      </c>
      <c r="C275" t="s">
        <v>0</v>
      </c>
      <c r="D275" s="2">
        <v>2550000</v>
      </c>
    </row>
    <row r="276" spans="1:4" x14ac:dyDescent="0.25">
      <c r="A276" t="s">
        <v>372</v>
      </c>
      <c r="B276" t="s">
        <v>755</v>
      </c>
      <c r="C276" t="s">
        <v>878</v>
      </c>
      <c r="D276" s="2">
        <v>2510000</v>
      </c>
    </row>
    <row r="277" spans="1:4" x14ac:dyDescent="0.25">
      <c r="A277" t="s">
        <v>47</v>
      </c>
      <c r="B277" t="s">
        <v>612</v>
      </c>
      <c r="C277" t="s">
        <v>4</v>
      </c>
      <c r="D277" s="2">
        <v>2500000</v>
      </c>
    </row>
    <row r="278" spans="1:4" x14ac:dyDescent="0.25">
      <c r="A278" t="s">
        <v>417</v>
      </c>
      <c r="B278" t="s">
        <v>26</v>
      </c>
      <c r="C278" t="s">
        <v>6</v>
      </c>
      <c r="D278" s="2">
        <v>2500000</v>
      </c>
    </row>
    <row r="279" spans="1:4" x14ac:dyDescent="0.25">
      <c r="A279" t="s">
        <v>48</v>
      </c>
      <c r="B279" t="s">
        <v>289</v>
      </c>
      <c r="C279" t="s">
        <v>880</v>
      </c>
      <c r="D279" s="2">
        <v>2500000</v>
      </c>
    </row>
    <row r="280" spans="1:4" x14ac:dyDescent="0.25">
      <c r="A280" t="s">
        <v>42</v>
      </c>
      <c r="B280" t="s">
        <v>81</v>
      </c>
      <c r="C280" t="s">
        <v>880</v>
      </c>
      <c r="D280" s="2">
        <v>2500000</v>
      </c>
    </row>
    <row r="281" spans="1:4" x14ac:dyDescent="0.25">
      <c r="A281" t="s">
        <v>31</v>
      </c>
      <c r="B281" t="s">
        <v>133</v>
      </c>
      <c r="C281" t="s">
        <v>880</v>
      </c>
      <c r="D281" s="2">
        <v>2500000</v>
      </c>
    </row>
    <row r="282" spans="1:4" x14ac:dyDescent="0.25">
      <c r="A282" t="s">
        <v>53</v>
      </c>
      <c r="B282" t="s">
        <v>655</v>
      </c>
      <c r="C282" t="s">
        <v>3</v>
      </c>
      <c r="D282" s="2">
        <v>2450000</v>
      </c>
    </row>
    <row r="283" spans="1:4" x14ac:dyDescent="0.25">
      <c r="A283" t="s">
        <v>53</v>
      </c>
      <c r="B283" t="s">
        <v>772</v>
      </c>
      <c r="C283" t="s">
        <v>878</v>
      </c>
      <c r="D283" s="2">
        <v>2450000</v>
      </c>
    </row>
    <row r="284" spans="1:4" x14ac:dyDescent="0.25">
      <c r="A284" t="s">
        <v>57</v>
      </c>
      <c r="B284" t="s">
        <v>776</v>
      </c>
      <c r="C284" t="s">
        <v>878</v>
      </c>
      <c r="D284" s="2">
        <v>2425000</v>
      </c>
    </row>
    <row r="285" spans="1:4" x14ac:dyDescent="0.25">
      <c r="A285" t="s">
        <v>417</v>
      </c>
      <c r="B285" t="s">
        <v>857</v>
      </c>
      <c r="C285" t="s">
        <v>880</v>
      </c>
      <c r="D285" s="2">
        <v>2410000</v>
      </c>
    </row>
    <row r="286" spans="1:4" x14ac:dyDescent="0.25">
      <c r="A286" t="s">
        <v>55</v>
      </c>
      <c r="B286" t="s">
        <v>644</v>
      </c>
      <c r="C286" t="s">
        <v>883</v>
      </c>
      <c r="D286" s="2">
        <v>2400000</v>
      </c>
    </row>
    <row r="287" spans="1:4" x14ac:dyDescent="0.25">
      <c r="A287" t="s">
        <v>58</v>
      </c>
      <c r="B287" t="s">
        <v>295</v>
      </c>
      <c r="C287" t="s">
        <v>880</v>
      </c>
      <c r="D287" s="2">
        <v>2300000</v>
      </c>
    </row>
    <row r="288" spans="1:4" x14ac:dyDescent="0.25">
      <c r="A288" t="s">
        <v>25</v>
      </c>
      <c r="B288" t="s">
        <v>683</v>
      </c>
      <c r="C288" t="s">
        <v>4</v>
      </c>
      <c r="D288" s="2">
        <v>2250000</v>
      </c>
    </row>
    <row r="289" spans="1:4" x14ac:dyDescent="0.25">
      <c r="A289" t="s">
        <v>53</v>
      </c>
      <c r="B289" t="s">
        <v>251</v>
      </c>
      <c r="C289" t="s">
        <v>880</v>
      </c>
      <c r="D289" s="2">
        <v>2250000</v>
      </c>
    </row>
    <row r="290" spans="1:4" x14ac:dyDescent="0.25">
      <c r="A290" t="s">
        <v>57</v>
      </c>
      <c r="B290" t="s">
        <v>775</v>
      </c>
      <c r="C290" t="s">
        <v>878</v>
      </c>
      <c r="D290" s="2">
        <v>2250000</v>
      </c>
    </row>
    <row r="291" spans="1:4" x14ac:dyDescent="0.25">
      <c r="A291" t="s">
        <v>50</v>
      </c>
      <c r="B291" t="s">
        <v>254</v>
      </c>
      <c r="C291" t="s">
        <v>880</v>
      </c>
      <c r="D291" s="2">
        <v>2200000</v>
      </c>
    </row>
    <row r="292" spans="1:4" x14ac:dyDescent="0.25">
      <c r="A292" t="s">
        <v>39</v>
      </c>
      <c r="B292" t="s">
        <v>242</v>
      </c>
      <c r="C292" t="s">
        <v>880</v>
      </c>
      <c r="D292" s="2">
        <v>2150000</v>
      </c>
    </row>
    <row r="293" spans="1:4" x14ac:dyDescent="0.25">
      <c r="A293" t="s">
        <v>61</v>
      </c>
      <c r="B293" t="s">
        <v>540</v>
      </c>
      <c r="C293" t="s">
        <v>880</v>
      </c>
      <c r="D293" s="2">
        <v>2150000</v>
      </c>
    </row>
    <row r="294" spans="1:4" x14ac:dyDescent="0.25">
      <c r="A294" t="s">
        <v>35</v>
      </c>
      <c r="B294" t="s">
        <v>794</v>
      </c>
      <c r="C294" t="s">
        <v>878</v>
      </c>
      <c r="D294" s="2">
        <v>2150000</v>
      </c>
    </row>
    <row r="295" spans="1:4" x14ac:dyDescent="0.25">
      <c r="A295" t="s">
        <v>58</v>
      </c>
      <c r="B295" t="s">
        <v>666</v>
      </c>
      <c r="C295" t="s">
        <v>4</v>
      </c>
      <c r="D295" s="2">
        <v>2125000</v>
      </c>
    </row>
    <row r="296" spans="1:4" x14ac:dyDescent="0.25">
      <c r="A296" t="s">
        <v>34</v>
      </c>
      <c r="B296" t="s">
        <v>733</v>
      </c>
      <c r="C296" t="s">
        <v>4</v>
      </c>
      <c r="D296" s="2">
        <v>2122500</v>
      </c>
    </row>
    <row r="297" spans="1:4" x14ac:dyDescent="0.25">
      <c r="A297" t="s">
        <v>54</v>
      </c>
      <c r="B297" t="s">
        <v>817</v>
      </c>
      <c r="C297" t="s">
        <v>880</v>
      </c>
      <c r="D297" s="2">
        <v>2100000</v>
      </c>
    </row>
    <row r="298" spans="1:4" x14ac:dyDescent="0.25">
      <c r="A298" t="s">
        <v>55</v>
      </c>
      <c r="B298" t="s">
        <v>294</v>
      </c>
      <c r="C298" t="s">
        <v>880</v>
      </c>
      <c r="D298" s="2">
        <v>2025000</v>
      </c>
    </row>
    <row r="299" spans="1:4" x14ac:dyDescent="0.25">
      <c r="A299" t="s">
        <v>39</v>
      </c>
      <c r="B299" t="s">
        <v>131</v>
      </c>
      <c r="C299" t="s">
        <v>0</v>
      </c>
      <c r="D299" s="2">
        <v>2000000</v>
      </c>
    </row>
    <row r="300" spans="1:4" x14ac:dyDescent="0.25">
      <c r="A300" t="s">
        <v>57</v>
      </c>
      <c r="B300" t="s">
        <v>299</v>
      </c>
      <c r="C300" t="s">
        <v>3</v>
      </c>
      <c r="D300" s="2">
        <v>2000000</v>
      </c>
    </row>
    <row r="301" spans="1:4" x14ac:dyDescent="0.25">
      <c r="A301" t="s">
        <v>48</v>
      </c>
      <c r="B301" t="s">
        <v>273</v>
      </c>
      <c r="C301" t="s">
        <v>881</v>
      </c>
      <c r="D301" s="2">
        <v>2000000</v>
      </c>
    </row>
    <row r="302" spans="1:4" x14ac:dyDescent="0.25">
      <c r="A302" t="s">
        <v>45</v>
      </c>
      <c r="B302" t="s">
        <v>186</v>
      </c>
      <c r="C302" t="s">
        <v>880</v>
      </c>
      <c r="D302" s="2">
        <v>2000000</v>
      </c>
    </row>
    <row r="303" spans="1:4" x14ac:dyDescent="0.25">
      <c r="A303" t="s">
        <v>59</v>
      </c>
      <c r="B303" t="s">
        <v>332</v>
      </c>
      <c r="C303" t="s">
        <v>880</v>
      </c>
      <c r="D303" s="2">
        <v>2000000</v>
      </c>
    </row>
    <row r="304" spans="1:4" x14ac:dyDescent="0.25">
      <c r="A304" t="s">
        <v>372</v>
      </c>
      <c r="B304" t="s">
        <v>756</v>
      </c>
      <c r="C304" t="s">
        <v>878</v>
      </c>
      <c r="D304" s="2">
        <v>2000000</v>
      </c>
    </row>
    <row r="305" spans="1:4" x14ac:dyDescent="0.25">
      <c r="A305" t="s">
        <v>417</v>
      </c>
      <c r="B305" t="s">
        <v>110</v>
      </c>
      <c r="C305" t="s">
        <v>878</v>
      </c>
      <c r="D305" s="2">
        <v>2000000</v>
      </c>
    </row>
    <row r="306" spans="1:4" x14ac:dyDescent="0.25">
      <c r="A306" t="s">
        <v>35</v>
      </c>
      <c r="B306" t="s">
        <v>317</v>
      </c>
      <c r="C306" t="s">
        <v>878</v>
      </c>
      <c r="D306" s="2">
        <v>2000000</v>
      </c>
    </row>
    <row r="307" spans="1:4" x14ac:dyDescent="0.25">
      <c r="A307" t="s">
        <v>34</v>
      </c>
      <c r="B307" t="s">
        <v>734</v>
      </c>
      <c r="C307" t="s">
        <v>3</v>
      </c>
      <c r="D307" s="2">
        <v>1950000</v>
      </c>
    </row>
    <row r="308" spans="1:4" x14ac:dyDescent="0.25">
      <c r="A308" t="s">
        <v>43</v>
      </c>
      <c r="B308" t="s">
        <v>696</v>
      </c>
      <c r="C308" t="s">
        <v>2</v>
      </c>
      <c r="D308" s="2">
        <v>1950000</v>
      </c>
    </row>
    <row r="309" spans="1:4" x14ac:dyDescent="0.25">
      <c r="A309" t="s">
        <v>57</v>
      </c>
      <c r="B309" t="s">
        <v>661</v>
      </c>
      <c r="C309" t="s">
        <v>1</v>
      </c>
      <c r="D309" s="2">
        <v>1940000</v>
      </c>
    </row>
    <row r="310" spans="1:4" x14ac:dyDescent="0.25">
      <c r="A310" t="s">
        <v>52</v>
      </c>
      <c r="B310" t="s">
        <v>815</v>
      </c>
      <c r="C310" t="s">
        <v>880</v>
      </c>
      <c r="D310" s="2">
        <v>1900000</v>
      </c>
    </row>
    <row r="311" spans="1:4" x14ac:dyDescent="0.25">
      <c r="A311" t="s">
        <v>44</v>
      </c>
      <c r="B311" t="s">
        <v>288</v>
      </c>
      <c r="C311" t="s">
        <v>880</v>
      </c>
      <c r="D311" s="2">
        <v>1900000</v>
      </c>
    </row>
    <row r="312" spans="1:4" x14ac:dyDescent="0.25">
      <c r="A312" t="s">
        <v>51</v>
      </c>
      <c r="B312" t="s">
        <v>629</v>
      </c>
      <c r="C312" t="s">
        <v>2</v>
      </c>
      <c r="D312" s="2">
        <v>1862500</v>
      </c>
    </row>
    <row r="313" spans="1:4" x14ac:dyDescent="0.25">
      <c r="A313" t="s">
        <v>41</v>
      </c>
      <c r="B313" t="s">
        <v>705</v>
      </c>
      <c r="C313" t="s">
        <v>879</v>
      </c>
      <c r="D313" s="2">
        <v>1850000</v>
      </c>
    </row>
    <row r="314" spans="1:4" x14ac:dyDescent="0.25">
      <c r="A314" t="s">
        <v>57</v>
      </c>
      <c r="B314" t="s">
        <v>320</v>
      </c>
      <c r="C314" t="s">
        <v>0</v>
      </c>
      <c r="D314" s="2">
        <v>1825000</v>
      </c>
    </row>
    <row r="315" spans="1:4" x14ac:dyDescent="0.25">
      <c r="A315" t="s">
        <v>49</v>
      </c>
      <c r="B315" t="s">
        <v>179</v>
      </c>
      <c r="C315" t="s">
        <v>880</v>
      </c>
      <c r="D315" s="2">
        <v>1825000</v>
      </c>
    </row>
    <row r="316" spans="1:4" x14ac:dyDescent="0.25">
      <c r="A316" t="s">
        <v>43</v>
      </c>
      <c r="B316" t="s">
        <v>241</v>
      </c>
      <c r="C316" t="s">
        <v>882</v>
      </c>
      <c r="D316" s="2">
        <v>1800000</v>
      </c>
    </row>
    <row r="317" spans="1:4" x14ac:dyDescent="0.25">
      <c r="A317" t="s">
        <v>49</v>
      </c>
      <c r="B317" t="s">
        <v>342</v>
      </c>
      <c r="C317" t="s">
        <v>878</v>
      </c>
      <c r="D317" s="2">
        <v>1800000</v>
      </c>
    </row>
    <row r="318" spans="1:4" x14ac:dyDescent="0.25">
      <c r="A318" t="s">
        <v>31</v>
      </c>
      <c r="B318" t="s">
        <v>79</v>
      </c>
      <c r="C318" t="s">
        <v>0</v>
      </c>
      <c r="D318" s="2">
        <v>1750000</v>
      </c>
    </row>
    <row r="319" spans="1:4" x14ac:dyDescent="0.25">
      <c r="A319" t="s">
        <v>56</v>
      </c>
      <c r="B319" t="s">
        <v>24</v>
      </c>
      <c r="C319" t="s">
        <v>3</v>
      </c>
      <c r="D319" s="2">
        <v>1750000</v>
      </c>
    </row>
    <row r="320" spans="1:4" x14ac:dyDescent="0.25">
      <c r="A320" t="s">
        <v>57</v>
      </c>
      <c r="B320" t="s">
        <v>73</v>
      </c>
      <c r="C320" t="s">
        <v>880</v>
      </c>
      <c r="D320" s="2">
        <v>1750000</v>
      </c>
    </row>
    <row r="321" spans="1:4" x14ac:dyDescent="0.25">
      <c r="A321" t="s">
        <v>34</v>
      </c>
      <c r="B321" t="s">
        <v>91</v>
      </c>
      <c r="C321" t="s">
        <v>880</v>
      </c>
      <c r="D321" s="2">
        <v>1750000</v>
      </c>
    </row>
    <row r="322" spans="1:4" x14ac:dyDescent="0.25">
      <c r="A322" t="s">
        <v>35</v>
      </c>
      <c r="B322" t="s">
        <v>152</v>
      </c>
      <c r="C322" t="s">
        <v>880</v>
      </c>
      <c r="D322" s="2">
        <v>1750000</v>
      </c>
    </row>
    <row r="323" spans="1:4" x14ac:dyDescent="0.25">
      <c r="A323" t="s">
        <v>39</v>
      </c>
      <c r="B323" t="s">
        <v>780</v>
      </c>
      <c r="C323" t="s">
        <v>878</v>
      </c>
      <c r="D323" s="2">
        <v>1750000</v>
      </c>
    </row>
    <row r="324" spans="1:4" x14ac:dyDescent="0.25">
      <c r="A324" t="s">
        <v>61</v>
      </c>
      <c r="B324" t="s">
        <v>268</v>
      </c>
      <c r="C324" t="s">
        <v>883</v>
      </c>
      <c r="D324" s="2">
        <v>1735000</v>
      </c>
    </row>
    <row r="325" spans="1:4" x14ac:dyDescent="0.25">
      <c r="A325" t="s">
        <v>41</v>
      </c>
      <c r="B325" t="s">
        <v>256</v>
      </c>
      <c r="C325" t="s">
        <v>880</v>
      </c>
      <c r="D325" s="2">
        <v>1725000</v>
      </c>
    </row>
    <row r="326" spans="1:4" x14ac:dyDescent="0.25">
      <c r="A326" t="s">
        <v>35</v>
      </c>
      <c r="B326" t="s">
        <v>741</v>
      </c>
      <c r="C326" t="s">
        <v>879</v>
      </c>
      <c r="D326" s="2">
        <v>1650000</v>
      </c>
    </row>
    <row r="327" spans="1:4" x14ac:dyDescent="0.25">
      <c r="A327" t="s">
        <v>39</v>
      </c>
      <c r="B327" t="s">
        <v>834</v>
      </c>
      <c r="C327" t="s">
        <v>880</v>
      </c>
      <c r="D327" s="2">
        <v>1650000</v>
      </c>
    </row>
    <row r="328" spans="1:4" x14ac:dyDescent="0.25">
      <c r="A328" t="s">
        <v>50</v>
      </c>
      <c r="B328" t="s">
        <v>236</v>
      </c>
      <c r="C328" t="s">
        <v>4</v>
      </c>
      <c r="D328" s="2">
        <v>1600000</v>
      </c>
    </row>
    <row r="329" spans="1:4" x14ac:dyDescent="0.25">
      <c r="A329" t="s">
        <v>34</v>
      </c>
      <c r="B329" t="s">
        <v>305</v>
      </c>
      <c r="C329" t="s">
        <v>880</v>
      </c>
      <c r="D329" s="2">
        <v>1575000</v>
      </c>
    </row>
    <row r="330" spans="1:4" x14ac:dyDescent="0.25">
      <c r="A330" t="s">
        <v>54</v>
      </c>
      <c r="B330" t="s">
        <v>818</v>
      </c>
      <c r="C330" t="s">
        <v>880</v>
      </c>
      <c r="D330" s="2">
        <v>1550000</v>
      </c>
    </row>
    <row r="331" spans="1:4" x14ac:dyDescent="0.25">
      <c r="A331" t="s">
        <v>56</v>
      </c>
      <c r="B331" t="s">
        <v>132</v>
      </c>
      <c r="C331" t="s">
        <v>0</v>
      </c>
      <c r="D331" s="2">
        <v>1500000</v>
      </c>
    </row>
    <row r="332" spans="1:4" x14ac:dyDescent="0.25">
      <c r="A332" t="s">
        <v>45</v>
      </c>
      <c r="B332" t="s">
        <v>304</v>
      </c>
      <c r="C332" t="s">
        <v>880</v>
      </c>
      <c r="D332" s="2">
        <v>1500000</v>
      </c>
    </row>
    <row r="333" spans="1:4" x14ac:dyDescent="0.25">
      <c r="A333" t="s">
        <v>372</v>
      </c>
      <c r="B333" t="s">
        <v>624</v>
      </c>
      <c r="C333" t="s">
        <v>883</v>
      </c>
      <c r="D333" s="2">
        <v>1500000</v>
      </c>
    </row>
    <row r="334" spans="1:4" x14ac:dyDescent="0.25">
      <c r="A334" t="s">
        <v>58</v>
      </c>
      <c r="B334" t="s">
        <v>670</v>
      </c>
      <c r="C334" t="s">
        <v>883</v>
      </c>
      <c r="D334" s="2">
        <v>1500000</v>
      </c>
    </row>
    <row r="335" spans="1:4" x14ac:dyDescent="0.25">
      <c r="A335" t="s">
        <v>45</v>
      </c>
      <c r="B335" t="s">
        <v>216</v>
      </c>
      <c r="C335" t="s">
        <v>878</v>
      </c>
      <c r="D335" s="2">
        <v>1500000</v>
      </c>
    </row>
    <row r="336" spans="1:4" x14ac:dyDescent="0.25">
      <c r="A336" t="s">
        <v>50</v>
      </c>
      <c r="B336" t="s">
        <v>189</v>
      </c>
      <c r="C336" t="s">
        <v>2</v>
      </c>
      <c r="D336" s="2">
        <v>1500000</v>
      </c>
    </row>
    <row r="337" spans="1:4" x14ac:dyDescent="0.25">
      <c r="A337" t="s">
        <v>29</v>
      </c>
      <c r="B337" t="s">
        <v>720</v>
      </c>
      <c r="C337" t="s">
        <v>3</v>
      </c>
      <c r="D337" s="2">
        <v>1455000</v>
      </c>
    </row>
    <row r="338" spans="1:4" x14ac:dyDescent="0.25">
      <c r="A338" t="s">
        <v>46</v>
      </c>
      <c r="B338" t="s">
        <v>604</v>
      </c>
      <c r="C338" t="s">
        <v>879</v>
      </c>
      <c r="D338" s="2">
        <v>1400000</v>
      </c>
    </row>
    <row r="339" spans="1:4" x14ac:dyDescent="0.25">
      <c r="A339" t="s">
        <v>45</v>
      </c>
      <c r="B339" t="s">
        <v>589</v>
      </c>
      <c r="C339" t="s">
        <v>316</v>
      </c>
      <c r="D339" s="2">
        <v>1400000</v>
      </c>
    </row>
    <row r="340" spans="1:4" x14ac:dyDescent="0.25">
      <c r="A340" t="s">
        <v>52</v>
      </c>
      <c r="B340" t="s">
        <v>314</v>
      </c>
      <c r="C340" t="s">
        <v>881</v>
      </c>
      <c r="D340" s="2">
        <v>1400000</v>
      </c>
    </row>
    <row r="341" spans="1:4" x14ac:dyDescent="0.25">
      <c r="A341" t="s">
        <v>50</v>
      </c>
      <c r="B341" t="s">
        <v>340</v>
      </c>
      <c r="C341" t="s">
        <v>880</v>
      </c>
      <c r="D341" s="2">
        <v>1400000</v>
      </c>
    </row>
    <row r="342" spans="1:4" x14ac:dyDescent="0.25">
      <c r="A342" t="s">
        <v>40</v>
      </c>
      <c r="B342" t="s">
        <v>348</v>
      </c>
      <c r="C342" t="s">
        <v>880</v>
      </c>
      <c r="D342" s="2">
        <v>1400000</v>
      </c>
    </row>
    <row r="343" spans="1:4" x14ac:dyDescent="0.25">
      <c r="A343" t="s">
        <v>42</v>
      </c>
      <c r="B343" t="s">
        <v>327</v>
      </c>
      <c r="C343" t="s">
        <v>4</v>
      </c>
      <c r="D343" s="2">
        <v>1350000</v>
      </c>
    </row>
    <row r="344" spans="1:4" x14ac:dyDescent="0.25">
      <c r="A344" t="s">
        <v>61</v>
      </c>
      <c r="B344" t="s">
        <v>710</v>
      </c>
      <c r="C344" t="s">
        <v>4</v>
      </c>
      <c r="D344" s="2">
        <v>1350000</v>
      </c>
    </row>
    <row r="345" spans="1:4" x14ac:dyDescent="0.25">
      <c r="A345" t="s">
        <v>53</v>
      </c>
      <c r="B345" t="s">
        <v>187</v>
      </c>
      <c r="C345" t="s">
        <v>880</v>
      </c>
      <c r="D345" s="2">
        <v>1325000</v>
      </c>
    </row>
    <row r="346" spans="1:4" x14ac:dyDescent="0.25">
      <c r="A346" t="s">
        <v>60</v>
      </c>
      <c r="B346" t="s">
        <v>313</v>
      </c>
      <c r="C346" t="s">
        <v>880</v>
      </c>
      <c r="D346" s="2">
        <v>1325000</v>
      </c>
    </row>
    <row r="347" spans="1:4" x14ac:dyDescent="0.25">
      <c r="A347" t="s">
        <v>55</v>
      </c>
      <c r="B347" t="s">
        <v>645</v>
      </c>
      <c r="C347" t="s">
        <v>1</v>
      </c>
      <c r="D347" s="2">
        <v>1300000</v>
      </c>
    </row>
    <row r="348" spans="1:4" x14ac:dyDescent="0.25">
      <c r="A348" t="s">
        <v>43</v>
      </c>
      <c r="B348" t="s">
        <v>698</v>
      </c>
      <c r="C348" t="s">
        <v>0</v>
      </c>
      <c r="D348" s="2">
        <v>1300000</v>
      </c>
    </row>
    <row r="349" spans="1:4" x14ac:dyDescent="0.25">
      <c r="A349" t="s">
        <v>34</v>
      </c>
      <c r="B349" t="s">
        <v>274</v>
      </c>
      <c r="C349" t="s">
        <v>879</v>
      </c>
      <c r="D349" s="2">
        <v>1300000</v>
      </c>
    </row>
    <row r="350" spans="1:4" x14ac:dyDescent="0.25">
      <c r="A350" t="s">
        <v>58</v>
      </c>
      <c r="B350" t="s">
        <v>347</v>
      </c>
      <c r="C350" t="s">
        <v>880</v>
      </c>
      <c r="D350" s="2">
        <v>1300000</v>
      </c>
    </row>
    <row r="351" spans="1:4" x14ac:dyDescent="0.25">
      <c r="A351" t="s">
        <v>43</v>
      </c>
      <c r="B351" t="s">
        <v>844</v>
      </c>
      <c r="C351" t="s">
        <v>880</v>
      </c>
      <c r="D351" s="2">
        <v>1280000</v>
      </c>
    </row>
    <row r="352" spans="1:4" x14ac:dyDescent="0.25">
      <c r="A352" t="s">
        <v>52</v>
      </c>
      <c r="B352" t="s">
        <v>633</v>
      </c>
      <c r="C352" t="s">
        <v>0</v>
      </c>
      <c r="D352" s="2">
        <v>1275000</v>
      </c>
    </row>
    <row r="353" spans="1:4" x14ac:dyDescent="0.25">
      <c r="A353" t="s">
        <v>54</v>
      </c>
      <c r="B353" t="s">
        <v>123</v>
      </c>
      <c r="C353" t="s">
        <v>878</v>
      </c>
      <c r="D353" s="2">
        <v>1251500</v>
      </c>
    </row>
    <row r="354" spans="1:4" x14ac:dyDescent="0.25">
      <c r="A354" t="s">
        <v>372</v>
      </c>
      <c r="B354" t="s">
        <v>625</v>
      </c>
      <c r="C354" t="s">
        <v>879</v>
      </c>
      <c r="D354" s="2">
        <v>1250000</v>
      </c>
    </row>
    <row r="355" spans="1:4" x14ac:dyDescent="0.25">
      <c r="A355" t="s">
        <v>34</v>
      </c>
      <c r="B355" t="s">
        <v>872</v>
      </c>
      <c r="C355" t="s">
        <v>880</v>
      </c>
      <c r="D355" s="2">
        <v>1250000</v>
      </c>
    </row>
    <row r="356" spans="1:4" x14ac:dyDescent="0.25">
      <c r="A356" t="s">
        <v>372</v>
      </c>
      <c r="B356" t="s">
        <v>626</v>
      </c>
      <c r="C356" t="s">
        <v>1</v>
      </c>
      <c r="D356" s="2">
        <v>1200000</v>
      </c>
    </row>
    <row r="357" spans="1:4" x14ac:dyDescent="0.25">
      <c r="A357" t="s">
        <v>40</v>
      </c>
      <c r="B357" t="s">
        <v>607</v>
      </c>
      <c r="C357" t="s">
        <v>4</v>
      </c>
      <c r="D357" s="2">
        <v>1200000</v>
      </c>
    </row>
    <row r="358" spans="1:4" x14ac:dyDescent="0.25">
      <c r="A358" t="s">
        <v>53</v>
      </c>
      <c r="B358" t="s">
        <v>656</v>
      </c>
      <c r="C358" t="s">
        <v>0</v>
      </c>
      <c r="D358" s="2">
        <v>1200000</v>
      </c>
    </row>
    <row r="359" spans="1:4" x14ac:dyDescent="0.25">
      <c r="A359" t="s">
        <v>61</v>
      </c>
      <c r="B359" t="s">
        <v>333</v>
      </c>
      <c r="C359" t="s">
        <v>3</v>
      </c>
      <c r="D359" s="2">
        <v>1200000</v>
      </c>
    </row>
    <row r="360" spans="1:4" x14ac:dyDescent="0.25">
      <c r="A360" t="s">
        <v>39</v>
      </c>
      <c r="B360" t="s">
        <v>130</v>
      </c>
      <c r="C360" t="s">
        <v>0</v>
      </c>
      <c r="D360" s="2">
        <v>1150000</v>
      </c>
    </row>
    <row r="361" spans="1:4" x14ac:dyDescent="0.25">
      <c r="A361" t="s">
        <v>39</v>
      </c>
      <c r="B361" t="s">
        <v>680</v>
      </c>
      <c r="C361" t="s">
        <v>883</v>
      </c>
      <c r="D361" s="2">
        <v>1100000</v>
      </c>
    </row>
    <row r="362" spans="1:4" x14ac:dyDescent="0.25">
      <c r="A362" t="s">
        <v>53</v>
      </c>
      <c r="B362" t="s">
        <v>830</v>
      </c>
      <c r="C362" t="s">
        <v>880</v>
      </c>
      <c r="D362" s="2">
        <v>1050000</v>
      </c>
    </row>
    <row r="363" spans="1:4" x14ac:dyDescent="0.25">
      <c r="A363" t="s">
        <v>31</v>
      </c>
      <c r="B363" t="s">
        <v>865</v>
      </c>
      <c r="C363" t="s">
        <v>880</v>
      </c>
      <c r="D363" s="2">
        <v>1050000</v>
      </c>
    </row>
    <row r="364" spans="1:4" x14ac:dyDescent="0.25">
      <c r="A364" t="s">
        <v>50</v>
      </c>
      <c r="B364" t="s">
        <v>192</v>
      </c>
      <c r="C364" t="s">
        <v>879</v>
      </c>
      <c r="D364" s="2">
        <v>1000000</v>
      </c>
    </row>
    <row r="365" spans="1:4" x14ac:dyDescent="0.25">
      <c r="A365" t="s">
        <v>34</v>
      </c>
      <c r="B365" t="s">
        <v>873</v>
      </c>
      <c r="C365" t="s">
        <v>880</v>
      </c>
      <c r="D365" s="2">
        <v>1000000</v>
      </c>
    </row>
    <row r="366" spans="1:4" x14ac:dyDescent="0.25">
      <c r="A366" t="s">
        <v>29</v>
      </c>
      <c r="B366" t="s">
        <v>721</v>
      </c>
      <c r="C366" t="s">
        <v>2</v>
      </c>
      <c r="D366" s="2">
        <v>1000000</v>
      </c>
    </row>
    <row r="367" spans="1:4" x14ac:dyDescent="0.25">
      <c r="A367" t="s">
        <v>29</v>
      </c>
      <c r="B367" t="s">
        <v>790</v>
      </c>
      <c r="C367" t="s">
        <v>878</v>
      </c>
      <c r="D367" s="2">
        <v>947500</v>
      </c>
    </row>
    <row r="368" spans="1:4" x14ac:dyDescent="0.25">
      <c r="A368" t="s">
        <v>417</v>
      </c>
      <c r="B368" t="s">
        <v>310</v>
      </c>
      <c r="C368" t="s">
        <v>880</v>
      </c>
      <c r="D368" s="2">
        <v>937500</v>
      </c>
    </row>
    <row r="369" spans="1:4" x14ac:dyDescent="0.25">
      <c r="A369" t="s">
        <v>39</v>
      </c>
      <c r="B369" t="s">
        <v>681</v>
      </c>
      <c r="C369" t="s">
        <v>3</v>
      </c>
      <c r="D369" s="2">
        <v>935000</v>
      </c>
    </row>
    <row r="370" spans="1:4" x14ac:dyDescent="0.25">
      <c r="A370" t="s">
        <v>39</v>
      </c>
      <c r="B370" t="s">
        <v>349</v>
      </c>
      <c r="C370" t="s">
        <v>880</v>
      </c>
      <c r="D370" s="2">
        <v>905000</v>
      </c>
    </row>
    <row r="371" spans="1:4" x14ac:dyDescent="0.25">
      <c r="A371" t="s">
        <v>60</v>
      </c>
      <c r="B371" t="s">
        <v>197</v>
      </c>
      <c r="C371" t="s">
        <v>0</v>
      </c>
      <c r="D371" s="2">
        <v>900000</v>
      </c>
    </row>
    <row r="372" spans="1:4" x14ac:dyDescent="0.25">
      <c r="A372" t="s">
        <v>46</v>
      </c>
      <c r="B372" t="s">
        <v>146</v>
      </c>
      <c r="C372" t="s">
        <v>3</v>
      </c>
      <c r="D372" s="2">
        <v>900000</v>
      </c>
    </row>
    <row r="373" spans="1:4" x14ac:dyDescent="0.25">
      <c r="A373" t="s">
        <v>372</v>
      </c>
      <c r="B373" t="s">
        <v>239</v>
      </c>
      <c r="C373" t="s">
        <v>3</v>
      </c>
      <c r="D373" s="2">
        <v>900000</v>
      </c>
    </row>
    <row r="374" spans="1:4" x14ac:dyDescent="0.25">
      <c r="A374" t="s">
        <v>29</v>
      </c>
      <c r="B374" t="s">
        <v>860</v>
      </c>
      <c r="C374" t="s">
        <v>880</v>
      </c>
      <c r="D374" s="2">
        <v>900000</v>
      </c>
    </row>
    <row r="375" spans="1:4" x14ac:dyDescent="0.25">
      <c r="A375" t="s">
        <v>59</v>
      </c>
      <c r="B375" t="s">
        <v>673</v>
      </c>
      <c r="C375" t="s">
        <v>3</v>
      </c>
      <c r="D375" s="2">
        <v>890000</v>
      </c>
    </row>
    <row r="376" spans="1:4" x14ac:dyDescent="0.25">
      <c r="A376" t="s">
        <v>59</v>
      </c>
      <c r="B376" t="s">
        <v>674</v>
      </c>
      <c r="C376" t="s">
        <v>4</v>
      </c>
      <c r="D376" s="2">
        <v>875000</v>
      </c>
    </row>
    <row r="377" spans="1:4" x14ac:dyDescent="0.25">
      <c r="A377" t="s">
        <v>46</v>
      </c>
      <c r="B377" t="s">
        <v>751</v>
      </c>
      <c r="C377" t="s">
        <v>878</v>
      </c>
      <c r="D377" s="2">
        <v>875000</v>
      </c>
    </row>
    <row r="378" spans="1:4" x14ac:dyDescent="0.25">
      <c r="A378" t="s">
        <v>25</v>
      </c>
      <c r="B378" t="s">
        <v>151</v>
      </c>
      <c r="C378" t="s">
        <v>3</v>
      </c>
      <c r="D378" s="2">
        <v>850000</v>
      </c>
    </row>
    <row r="379" spans="1:4" x14ac:dyDescent="0.25">
      <c r="A379" t="s">
        <v>49</v>
      </c>
      <c r="B379" t="s">
        <v>266</v>
      </c>
      <c r="C379" t="s">
        <v>880</v>
      </c>
      <c r="D379" s="2">
        <v>850000</v>
      </c>
    </row>
    <row r="380" spans="1:4" x14ac:dyDescent="0.25">
      <c r="A380" t="s">
        <v>41</v>
      </c>
      <c r="B380" t="s">
        <v>850</v>
      </c>
      <c r="C380" t="s">
        <v>880</v>
      </c>
      <c r="D380" s="2">
        <v>837500</v>
      </c>
    </row>
    <row r="381" spans="1:4" x14ac:dyDescent="0.25">
      <c r="A381" t="s">
        <v>34</v>
      </c>
      <c r="B381" t="s">
        <v>735</v>
      </c>
      <c r="C381" t="s">
        <v>2</v>
      </c>
      <c r="D381" s="2">
        <v>825000</v>
      </c>
    </row>
    <row r="382" spans="1:4" x14ac:dyDescent="0.25">
      <c r="A382" t="s">
        <v>59</v>
      </c>
      <c r="B382" t="s">
        <v>675</v>
      </c>
      <c r="C382" t="s">
        <v>6</v>
      </c>
      <c r="D382" s="2">
        <v>800000</v>
      </c>
    </row>
    <row r="383" spans="1:4" x14ac:dyDescent="0.25">
      <c r="A383" t="s">
        <v>52</v>
      </c>
      <c r="B383" t="s">
        <v>334</v>
      </c>
      <c r="C383" t="s">
        <v>880</v>
      </c>
      <c r="D383" s="2">
        <v>800000</v>
      </c>
    </row>
    <row r="384" spans="1:4" x14ac:dyDescent="0.25">
      <c r="A384" t="s">
        <v>41</v>
      </c>
      <c r="B384" t="s">
        <v>852</v>
      </c>
      <c r="C384" t="s">
        <v>880</v>
      </c>
      <c r="D384" s="2">
        <v>800000</v>
      </c>
    </row>
    <row r="385" spans="1:4" x14ac:dyDescent="0.25">
      <c r="A385" t="s">
        <v>46</v>
      </c>
      <c r="B385" t="s">
        <v>605</v>
      </c>
      <c r="C385" t="s">
        <v>3</v>
      </c>
      <c r="D385" s="2">
        <v>780000</v>
      </c>
    </row>
    <row r="386" spans="1:4" x14ac:dyDescent="0.25">
      <c r="A386" t="s">
        <v>54</v>
      </c>
      <c r="B386" t="s">
        <v>638</v>
      </c>
      <c r="C386" t="s">
        <v>6</v>
      </c>
      <c r="D386" s="2">
        <v>764600</v>
      </c>
    </row>
    <row r="387" spans="1:4" x14ac:dyDescent="0.25">
      <c r="A387" t="s">
        <v>54</v>
      </c>
      <c r="B387" t="s">
        <v>639</v>
      </c>
      <c r="C387" t="s">
        <v>881</v>
      </c>
      <c r="D387" s="2">
        <v>764200</v>
      </c>
    </row>
    <row r="388" spans="1:4" x14ac:dyDescent="0.25">
      <c r="A388" t="s">
        <v>49</v>
      </c>
      <c r="B388" t="s">
        <v>620</v>
      </c>
      <c r="C388" t="s">
        <v>4</v>
      </c>
      <c r="D388" s="2">
        <v>760000</v>
      </c>
    </row>
    <row r="389" spans="1:4" x14ac:dyDescent="0.25">
      <c r="A389" t="s">
        <v>60</v>
      </c>
      <c r="B389" t="s">
        <v>701</v>
      </c>
      <c r="C389" t="s">
        <v>4</v>
      </c>
      <c r="D389" s="2">
        <v>757200</v>
      </c>
    </row>
    <row r="390" spans="1:4" x14ac:dyDescent="0.25">
      <c r="A390" t="s">
        <v>51</v>
      </c>
      <c r="B390" t="s">
        <v>229</v>
      </c>
      <c r="C390" t="s">
        <v>880</v>
      </c>
      <c r="D390" s="2">
        <v>750000</v>
      </c>
    </row>
    <row r="391" spans="1:4" x14ac:dyDescent="0.25">
      <c r="A391" t="s">
        <v>59</v>
      </c>
      <c r="B391" t="s">
        <v>832</v>
      </c>
      <c r="C391" t="s">
        <v>880</v>
      </c>
      <c r="D391" s="2">
        <v>750000</v>
      </c>
    </row>
    <row r="392" spans="1:4" x14ac:dyDescent="0.25">
      <c r="A392" t="s">
        <v>61</v>
      </c>
      <c r="B392" t="s">
        <v>854</v>
      </c>
      <c r="C392" t="s">
        <v>880</v>
      </c>
      <c r="D392" s="2">
        <v>750000</v>
      </c>
    </row>
    <row r="393" spans="1:4" x14ac:dyDescent="0.25">
      <c r="A393" t="s">
        <v>29</v>
      </c>
      <c r="B393" t="s">
        <v>861</v>
      </c>
      <c r="C393" t="s">
        <v>880</v>
      </c>
      <c r="D393" s="2">
        <v>750000</v>
      </c>
    </row>
    <row r="394" spans="1:4" x14ac:dyDescent="0.25">
      <c r="A394" t="s">
        <v>48</v>
      </c>
      <c r="B394" t="s">
        <v>753</v>
      </c>
      <c r="C394" t="s">
        <v>878</v>
      </c>
      <c r="D394" s="2">
        <v>750000</v>
      </c>
    </row>
    <row r="395" spans="1:4" x14ac:dyDescent="0.25">
      <c r="A395" t="s">
        <v>54</v>
      </c>
      <c r="B395" t="s">
        <v>761</v>
      </c>
      <c r="C395" t="s">
        <v>878</v>
      </c>
      <c r="D395" s="2">
        <v>749100</v>
      </c>
    </row>
    <row r="396" spans="1:4" x14ac:dyDescent="0.25">
      <c r="A396" t="s">
        <v>54</v>
      </c>
      <c r="B396" t="s">
        <v>762</v>
      </c>
      <c r="C396" t="s">
        <v>878</v>
      </c>
      <c r="D396" s="2">
        <v>748700</v>
      </c>
    </row>
    <row r="397" spans="1:4" x14ac:dyDescent="0.25">
      <c r="A397" t="s">
        <v>45</v>
      </c>
      <c r="B397" t="s">
        <v>747</v>
      </c>
      <c r="C397" t="s">
        <v>878</v>
      </c>
      <c r="D397" s="2">
        <v>745600</v>
      </c>
    </row>
    <row r="398" spans="1:4" x14ac:dyDescent="0.25">
      <c r="A398" t="s">
        <v>61</v>
      </c>
      <c r="B398" t="s">
        <v>711</v>
      </c>
      <c r="C398" t="s">
        <v>1</v>
      </c>
      <c r="D398" s="2">
        <v>734500</v>
      </c>
    </row>
    <row r="399" spans="1:4" x14ac:dyDescent="0.25">
      <c r="A399" t="s">
        <v>45</v>
      </c>
      <c r="B399" t="s">
        <v>590</v>
      </c>
      <c r="C399" t="s">
        <v>0</v>
      </c>
      <c r="D399" s="2">
        <v>730900</v>
      </c>
    </row>
    <row r="400" spans="1:4" x14ac:dyDescent="0.25">
      <c r="A400" t="s">
        <v>61</v>
      </c>
      <c r="B400" t="s">
        <v>713</v>
      </c>
      <c r="C400" t="s">
        <v>0</v>
      </c>
      <c r="D400" s="2">
        <v>730300</v>
      </c>
    </row>
    <row r="401" spans="1:4" x14ac:dyDescent="0.25">
      <c r="A401" t="s">
        <v>47</v>
      </c>
      <c r="B401" t="s">
        <v>614</v>
      </c>
      <c r="C401" t="s">
        <v>0</v>
      </c>
      <c r="D401" s="2">
        <v>730000</v>
      </c>
    </row>
    <row r="402" spans="1:4" x14ac:dyDescent="0.25">
      <c r="A402" t="s">
        <v>42</v>
      </c>
      <c r="B402" t="s">
        <v>155</v>
      </c>
      <c r="C402" t="s">
        <v>3</v>
      </c>
      <c r="D402" s="2">
        <v>730000</v>
      </c>
    </row>
    <row r="403" spans="1:4" x14ac:dyDescent="0.25">
      <c r="A403" t="s">
        <v>41</v>
      </c>
      <c r="B403" t="s">
        <v>706</v>
      </c>
      <c r="C403" t="s">
        <v>882</v>
      </c>
      <c r="D403" s="2">
        <v>730000</v>
      </c>
    </row>
    <row r="404" spans="1:4" x14ac:dyDescent="0.25">
      <c r="A404" t="s">
        <v>56</v>
      </c>
      <c r="B404" t="s">
        <v>823</v>
      </c>
      <c r="C404" t="s">
        <v>880</v>
      </c>
      <c r="D404" s="2">
        <v>730000</v>
      </c>
    </row>
    <row r="405" spans="1:4" x14ac:dyDescent="0.25">
      <c r="A405" t="s">
        <v>41</v>
      </c>
      <c r="B405" t="s">
        <v>851</v>
      </c>
      <c r="C405" t="s">
        <v>880</v>
      </c>
      <c r="D405" s="2">
        <v>730000</v>
      </c>
    </row>
    <row r="406" spans="1:4" x14ac:dyDescent="0.25">
      <c r="A406" t="s">
        <v>44</v>
      </c>
      <c r="B406" t="s">
        <v>784</v>
      </c>
      <c r="C406" t="s">
        <v>878</v>
      </c>
      <c r="D406" s="2">
        <v>730000</v>
      </c>
    </row>
    <row r="407" spans="1:4" x14ac:dyDescent="0.25">
      <c r="A407" t="s">
        <v>34</v>
      </c>
      <c r="B407" t="s">
        <v>793</v>
      </c>
      <c r="C407" t="s">
        <v>878</v>
      </c>
      <c r="D407" s="2">
        <v>730000</v>
      </c>
    </row>
    <row r="408" spans="1:4" x14ac:dyDescent="0.25">
      <c r="A408" t="s">
        <v>60</v>
      </c>
      <c r="B408" t="s">
        <v>702</v>
      </c>
      <c r="C408" t="s">
        <v>879</v>
      </c>
      <c r="D408" s="2">
        <v>729300</v>
      </c>
    </row>
    <row r="409" spans="1:4" x14ac:dyDescent="0.25">
      <c r="A409" t="s">
        <v>29</v>
      </c>
      <c r="B409" t="s">
        <v>722</v>
      </c>
      <c r="C409" t="s">
        <v>881</v>
      </c>
      <c r="D409" s="2">
        <v>728000</v>
      </c>
    </row>
    <row r="410" spans="1:4" x14ac:dyDescent="0.25">
      <c r="A410" t="s">
        <v>39</v>
      </c>
      <c r="B410" t="s">
        <v>311</v>
      </c>
      <c r="C410" t="s">
        <v>878</v>
      </c>
      <c r="D410" s="2">
        <v>727500</v>
      </c>
    </row>
    <row r="411" spans="1:4" x14ac:dyDescent="0.25">
      <c r="A411" t="s">
        <v>60</v>
      </c>
      <c r="B411" t="s">
        <v>703</v>
      </c>
      <c r="C411" t="s">
        <v>3</v>
      </c>
      <c r="D411" s="2">
        <v>726900</v>
      </c>
    </row>
    <row r="412" spans="1:4" x14ac:dyDescent="0.25">
      <c r="A412" t="s">
        <v>42</v>
      </c>
      <c r="B412" t="s">
        <v>829</v>
      </c>
      <c r="C412" t="s">
        <v>880</v>
      </c>
      <c r="D412" s="2">
        <v>726500</v>
      </c>
    </row>
    <row r="413" spans="1:4" x14ac:dyDescent="0.25">
      <c r="A413" t="s">
        <v>55</v>
      </c>
      <c r="B413" t="s">
        <v>764</v>
      </c>
      <c r="C413" t="s">
        <v>878</v>
      </c>
      <c r="D413" s="2">
        <v>726250</v>
      </c>
    </row>
    <row r="414" spans="1:4" x14ac:dyDescent="0.25">
      <c r="A414" t="s">
        <v>35</v>
      </c>
      <c r="B414" t="s">
        <v>742</v>
      </c>
      <c r="C414" t="s">
        <v>883</v>
      </c>
      <c r="D414" s="2">
        <v>725900</v>
      </c>
    </row>
    <row r="415" spans="1:4" x14ac:dyDescent="0.25">
      <c r="A415" t="s">
        <v>25</v>
      </c>
      <c r="B415" t="s">
        <v>684</v>
      </c>
      <c r="C415" t="s">
        <v>3</v>
      </c>
      <c r="D415" s="2">
        <v>725000</v>
      </c>
    </row>
    <row r="416" spans="1:4" x14ac:dyDescent="0.25">
      <c r="A416" t="s">
        <v>57</v>
      </c>
      <c r="B416" t="s">
        <v>263</v>
      </c>
      <c r="C416" t="s">
        <v>880</v>
      </c>
      <c r="D416" s="2">
        <v>725000</v>
      </c>
    </row>
    <row r="417" spans="1:4" x14ac:dyDescent="0.25">
      <c r="A417" t="s">
        <v>43</v>
      </c>
      <c r="B417" t="s">
        <v>841</v>
      </c>
      <c r="C417" t="s">
        <v>880</v>
      </c>
      <c r="D417" s="2">
        <v>725000</v>
      </c>
    </row>
    <row r="418" spans="1:4" x14ac:dyDescent="0.25">
      <c r="A418" t="s">
        <v>44</v>
      </c>
      <c r="B418" t="s">
        <v>688</v>
      </c>
      <c r="C418" t="s">
        <v>883</v>
      </c>
      <c r="D418" s="2">
        <v>725000</v>
      </c>
    </row>
    <row r="419" spans="1:4" x14ac:dyDescent="0.25">
      <c r="A419" t="s">
        <v>43</v>
      </c>
      <c r="B419" t="s">
        <v>786</v>
      </c>
      <c r="C419" t="s">
        <v>878</v>
      </c>
      <c r="D419" s="2">
        <v>725000</v>
      </c>
    </row>
    <row r="420" spans="1:4" x14ac:dyDescent="0.25">
      <c r="A420" t="s">
        <v>43</v>
      </c>
      <c r="B420" t="s">
        <v>787</v>
      </c>
      <c r="C420" t="s">
        <v>878</v>
      </c>
      <c r="D420" s="2">
        <v>725000</v>
      </c>
    </row>
    <row r="421" spans="1:4" x14ac:dyDescent="0.25">
      <c r="A421" t="s">
        <v>47</v>
      </c>
      <c r="B421" t="s">
        <v>805</v>
      </c>
      <c r="C421" t="s">
        <v>880</v>
      </c>
      <c r="D421" s="2">
        <v>724000</v>
      </c>
    </row>
    <row r="422" spans="1:4" x14ac:dyDescent="0.25">
      <c r="A422" t="s">
        <v>35</v>
      </c>
      <c r="B422" t="s">
        <v>743</v>
      </c>
      <c r="C422" t="s">
        <v>879</v>
      </c>
      <c r="D422" s="2">
        <v>723600</v>
      </c>
    </row>
    <row r="423" spans="1:4" x14ac:dyDescent="0.25">
      <c r="A423" t="s">
        <v>34</v>
      </c>
      <c r="B423" t="s">
        <v>736</v>
      </c>
      <c r="C423" t="s">
        <v>4</v>
      </c>
      <c r="D423" s="2">
        <v>723550</v>
      </c>
    </row>
    <row r="424" spans="1:4" x14ac:dyDescent="0.25">
      <c r="A424" t="s">
        <v>45</v>
      </c>
      <c r="B424" t="s">
        <v>594</v>
      </c>
      <c r="C424" t="s">
        <v>881</v>
      </c>
      <c r="D424" s="2">
        <v>722900</v>
      </c>
    </row>
    <row r="425" spans="1:4" x14ac:dyDescent="0.25">
      <c r="A425" t="s">
        <v>417</v>
      </c>
      <c r="B425" t="s">
        <v>715</v>
      </c>
      <c r="C425" t="s">
        <v>2</v>
      </c>
      <c r="D425" s="2">
        <v>722900</v>
      </c>
    </row>
    <row r="426" spans="1:4" x14ac:dyDescent="0.25">
      <c r="A426" t="s">
        <v>417</v>
      </c>
      <c r="B426" t="s">
        <v>716</v>
      </c>
      <c r="C426" t="s">
        <v>883</v>
      </c>
      <c r="D426" s="2">
        <v>722450</v>
      </c>
    </row>
    <row r="427" spans="1:4" x14ac:dyDescent="0.25">
      <c r="A427" t="s">
        <v>40</v>
      </c>
      <c r="B427" t="s">
        <v>609</v>
      </c>
      <c r="C427" t="s">
        <v>3</v>
      </c>
      <c r="D427" s="2">
        <v>722400</v>
      </c>
    </row>
    <row r="428" spans="1:4" x14ac:dyDescent="0.25">
      <c r="A428" t="s">
        <v>52</v>
      </c>
      <c r="B428" t="s">
        <v>634</v>
      </c>
      <c r="C428" t="s">
        <v>883</v>
      </c>
      <c r="D428" s="2">
        <v>722400</v>
      </c>
    </row>
    <row r="429" spans="1:4" x14ac:dyDescent="0.25">
      <c r="A429" t="s">
        <v>45</v>
      </c>
      <c r="B429" t="s">
        <v>591</v>
      </c>
      <c r="C429" t="s">
        <v>879</v>
      </c>
      <c r="D429" s="2">
        <v>721700</v>
      </c>
    </row>
    <row r="430" spans="1:4" x14ac:dyDescent="0.25">
      <c r="A430" t="s">
        <v>60</v>
      </c>
      <c r="B430" t="s">
        <v>849</v>
      </c>
      <c r="C430" t="s">
        <v>880</v>
      </c>
      <c r="D430" s="2">
        <v>721500</v>
      </c>
    </row>
    <row r="431" spans="1:4" x14ac:dyDescent="0.25">
      <c r="A431" t="s">
        <v>42</v>
      </c>
      <c r="B431" t="s">
        <v>652</v>
      </c>
      <c r="C431" t="s">
        <v>4</v>
      </c>
      <c r="D431" s="2">
        <v>720000</v>
      </c>
    </row>
    <row r="432" spans="1:4" x14ac:dyDescent="0.25">
      <c r="A432" t="s">
        <v>39</v>
      </c>
      <c r="B432" t="s">
        <v>682</v>
      </c>
      <c r="C432" t="s">
        <v>3</v>
      </c>
      <c r="D432" s="2">
        <v>720000</v>
      </c>
    </row>
    <row r="433" spans="1:4" x14ac:dyDescent="0.25">
      <c r="A433" t="s">
        <v>49</v>
      </c>
      <c r="B433" t="s">
        <v>622</v>
      </c>
      <c r="C433" t="s">
        <v>881</v>
      </c>
      <c r="D433" s="2">
        <v>720000</v>
      </c>
    </row>
    <row r="434" spans="1:4" x14ac:dyDescent="0.25">
      <c r="A434" t="s">
        <v>56</v>
      </c>
      <c r="B434" t="s">
        <v>649</v>
      </c>
      <c r="C434" t="s">
        <v>881</v>
      </c>
      <c r="D434" s="2">
        <v>720000</v>
      </c>
    </row>
    <row r="435" spans="1:4" x14ac:dyDescent="0.25">
      <c r="A435" t="s">
        <v>56</v>
      </c>
      <c r="B435" t="s">
        <v>650</v>
      </c>
      <c r="C435" t="s">
        <v>881</v>
      </c>
      <c r="D435" s="2">
        <v>720000</v>
      </c>
    </row>
    <row r="436" spans="1:4" x14ac:dyDescent="0.25">
      <c r="A436" t="s">
        <v>48</v>
      </c>
      <c r="B436" t="s">
        <v>808</v>
      </c>
      <c r="C436" t="s">
        <v>880</v>
      </c>
      <c r="D436" s="2">
        <v>720000</v>
      </c>
    </row>
    <row r="437" spans="1:4" x14ac:dyDescent="0.25">
      <c r="A437" t="s">
        <v>56</v>
      </c>
      <c r="B437" t="s">
        <v>824</v>
      </c>
      <c r="C437" t="s">
        <v>880</v>
      </c>
      <c r="D437" s="2">
        <v>720000</v>
      </c>
    </row>
    <row r="438" spans="1:4" x14ac:dyDescent="0.25">
      <c r="A438" t="s">
        <v>56</v>
      </c>
      <c r="B438" t="s">
        <v>825</v>
      </c>
      <c r="C438" t="s">
        <v>880</v>
      </c>
      <c r="D438" s="2">
        <v>720000</v>
      </c>
    </row>
    <row r="439" spans="1:4" x14ac:dyDescent="0.25">
      <c r="A439" t="s">
        <v>42</v>
      </c>
      <c r="B439" t="s">
        <v>826</v>
      </c>
      <c r="C439" t="s">
        <v>880</v>
      </c>
      <c r="D439" s="2">
        <v>720000</v>
      </c>
    </row>
    <row r="440" spans="1:4" x14ac:dyDescent="0.25">
      <c r="A440" t="s">
        <v>42</v>
      </c>
      <c r="B440" t="s">
        <v>827</v>
      </c>
      <c r="C440" t="s">
        <v>880</v>
      </c>
      <c r="D440" s="2">
        <v>720000</v>
      </c>
    </row>
    <row r="441" spans="1:4" x14ac:dyDescent="0.25">
      <c r="A441" t="s">
        <v>42</v>
      </c>
      <c r="B441" t="s">
        <v>828</v>
      </c>
      <c r="C441" t="s">
        <v>880</v>
      </c>
      <c r="D441" s="2">
        <v>720000</v>
      </c>
    </row>
    <row r="442" spans="1:4" x14ac:dyDescent="0.25">
      <c r="A442" t="s">
        <v>31</v>
      </c>
      <c r="B442" t="s">
        <v>866</v>
      </c>
      <c r="C442" t="s">
        <v>880</v>
      </c>
      <c r="D442" s="2">
        <v>720000</v>
      </c>
    </row>
    <row r="443" spans="1:4" x14ac:dyDescent="0.25">
      <c r="A443" t="s">
        <v>31</v>
      </c>
      <c r="B443" t="s">
        <v>867</v>
      </c>
      <c r="C443" t="s">
        <v>880</v>
      </c>
      <c r="D443" s="2">
        <v>720000</v>
      </c>
    </row>
    <row r="444" spans="1:4" x14ac:dyDescent="0.25">
      <c r="A444" t="s">
        <v>50</v>
      </c>
      <c r="B444" t="s">
        <v>749</v>
      </c>
      <c r="C444" t="s">
        <v>878</v>
      </c>
      <c r="D444" s="2">
        <v>720000</v>
      </c>
    </row>
    <row r="445" spans="1:4" x14ac:dyDescent="0.25">
      <c r="A445" t="s">
        <v>56</v>
      </c>
      <c r="B445" t="s">
        <v>766</v>
      </c>
      <c r="C445" t="s">
        <v>878</v>
      </c>
      <c r="D445" s="2">
        <v>720000</v>
      </c>
    </row>
    <row r="446" spans="1:4" x14ac:dyDescent="0.25">
      <c r="A446" t="s">
        <v>56</v>
      </c>
      <c r="B446" t="s">
        <v>768</v>
      </c>
      <c r="C446" t="s">
        <v>878</v>
      </c>
      <c r="D446" s="2">
        <v>720000</v>
      </c>
    </row>
    <row r="447" spans="1:4" x14ac:dyDescent="0.25">
      <c r="A447" t="s">
        <v>42</v>
      </c>
      <c r="B447" t="s">
        <v>770</v>
      </c>
      <c r="C447" t="s">
        <v>878</v>
      </c>
      <c r="D447" s="2">
        <v>720000</v>
      </c>
    </row>
    <row r="448" spans="1:4" x14ac:dyDescent="0.25">
      <c r="A448" t="s">
        <v>47</v>
      </c>
      <c r="B448" t="s">
        <v>615</v>
      </c>
      <c r="C448" t="s">
        <v>2</v>
      </c>
      <c r="D448" s="2">
        <v>720000</v>
      </c>
    </row>
    <row r="449" spans="1:4" x14ac:dyDescent="0.25">
      <c r="A449" t="s">
        <v>54</v>
      </c>
      <c r="B449" t="s">
        <v>819</v>
      </c>
      <c r="C449" t="s">
        <v>880</v>
      </c>
      <c r="D449" s="2">
        <v>719600</v>
      </c>
    </row>
    <row r="450" spans="1:4" x14ac:dyDescent="0.25">
      <c r="A450" t="s">
        <v>417</v>
      </c>
      <c r="B450" t="s">
        <v>717</v>
      </c>
      <c r="C450" t="s">
        <v>3</v>
      </c>
      <c r="D450" s="2">
        <v>718300</v>
      </c>
    </row>
    <row r="451" spans="1:4" x14ac:dyDescent="0.25">
      <c r="A451" t="s">
        <v>47</v>
      </c>
      <c r="B451" t="s">
        <v>806</v>
      </c>
      <c r="C451" t="s">
        <v>880</v>
      </c>
      <c r="D451" s="2">
        <v>718250</v>
      </c>
    </row>
    <row r="452" spans="1:4" x14ac:dyDescent="0.25">
      <c r="A452" t="s">
        <v>45</v>
      </c>
      <c r="B452" t="s">
        <v>798</v>
      </c>
      <c r="C452" t="s">
        <v>880</v>
      </c>
      <c r="D452" s="2">
        <v>717400</v>
      </c>
    </row>
    <row r="453" spans="1:4" x14ac:dyDescent="0.25">
      <c r="A453" t="s">
        <v>45</v>
      </c>
      <c r="B453" t="s">
        <v>797</v>
      </c>
      <c r="C453" t="s">
        <v>880</v>
      </c>
      <c r="D453" s="2">
        <v>717000</v>
      </c>
    </row>
    <row r="454" spans="1:4" x14ac:dyDescent="0.25">
      <c r="A454" t="s">
        <v>372</v>
      </c>
      <c r="B454" t="s">
        <v>757</v>
      </c>
      <c r="C454" t="s">
        <v>878</v>
      </c>
      <c r="D454" s="2">
        <v>716900</v>
      </c>
    </row>
    <row r="455" spans="1:4" x14ac:dyDescent="0.25">
      <c r="A455" t="s">
        <v>52</v>
      </c>
      <c r="B455" t="s">
        <v>759</v>
      </c>
      <c r="C455" t="s">
        <v>878</v>
      </c>
      <c r="D455" s="2">
        <v>716900</v>
      </c>
    </row>
    <row r="456" spans="1:4" x14ac:dyDescent="0.25">
      <c r="A456" t="s">
        <v>29</v>
      </c>
      <c r="B456" t="s">
        <v>723</v>
      </c>
      <c r="C456" t="s">
        <v>882</v>
      </c>
      <c r="D456" s="2">
        <v>716600</v>
      </c>
    </row>
    <row r="457" spans="1:4" x14ac:dyDescent="0.25">
      <c r="A457" t="s">
        <v>46</v>
      </c>
      <c r="B457" t="s">
        <v>599</v>
      </c>
      <c r="C457" t="s">
        <v>879</v>
      </c>
      <c r="D457" s="2">
        <v>716500</v>
      </c>
    </row>
    <row r="458" spans="1:4" x14ac:dyDescent="0.25">
      <c r="A458" t="s">
        <v>35</v>
      </c>
      <c r="B458" t="s">
        <v>795</v>
      </c>
      <c r="C458" t="s">
        <v>878</v>
      </c>
      <c r="D458" s="2">
        <v>716200</v>
      </c>
    </row>
    <row r="459" spans="1:4" x14ac:dyDescent="0.25">
      <c r="A459" t="s">
        <v>31</v>
      </c>
      <c r="B459" t="s">
        <v>727</v>
      </c>
      <c r="C459" t="s">
        <v>1</v>
      </c>
      <c r="D459" s="2">
        <v>716000</v>
      </c>
    </row>
    <row r="460" spans="1:4" x14ac:dyDescent="0.25">
      <c r="A460" t="s">
        <v>44</v>
      </c>
      <c r="B460" t="s">
        <v>692</v>
      </c>
      <c r="C460" t="s">
        <v>2</v>
      </c>
      <c r="D460" s="2">
        <v>715600</v>
      </c>
    </row>
    <row r="461" spans="1:4" x14ac:dyDescent="0.25">
      <c r="A461" t="s">
        <v>41</v>
      </c>
      <c r="B461" t="s">
        <v>707</v>
      </c>
      <c r="C461" t="s">
        <v>4</v>
      </c>
      <c r="D461" s="2">
        <v>715000</v>
      </c>
    </row>
    <row r="462" spans="1:4" x14ac:dyDescent="0.25">
      <c r="A462" t="s">
        <v>44</v>
      </c>
      <c r="B462" t="s">
        <v>689</v>
      </c>
      <c r="C462" t="s">
        <v>0</v>
      </c>
      <c r="D462" s="2">
        <v>715000</v>
      </c>
    </row>
    <row r="463" spans="1:4" x14ac:dyDescent="0.25">
      <c r="A463" t="s">
        <v>54</v>
      </c>
      <c r="B463" t="s">
        <v>642</v>
      </c>
      <c r="C463" t="s">
        <v>879</v>
      </c>
      <c r="D463" s="2">
        <v>715000</v>
      </c>
    </row>
    <row r="464" spans="1:4" x14ac:dyDescent="0.25">
      <c r="A464" t="s">
        <v>48</v>
      </c>
      <c r="B464" t="s">
        <v>618</v>
      </c>
      <c r="C464" t="s">
        <v>6</v>
      </c>
      <c r="D464" s="2">
        <v>715000</v>
      </c>
    </row>
    <row r="465" spans="1:4" x14ac:dyDescent="0.25">
      <c r="A465" t="s">
        <v>44</v>
      </c>
      <c r="B465" t="s">
        <v>840</v>
      </c>
      <c r="C465" t="s">
        <v>880</v>
      </c>
      <c r="D465" s="2">
        <v>715000</v>
      </c>
    </row>
    <row r="466" spans="1:4" x14ac:dyDescent="0.25">
      <c r="A466" t="s">
        <v>43</v>
      </c>
      <c r="B466" t="s">
        <v>697</v>
      </c>
      <c r="C466" t="s">
        <v>883</v>
      </c>
      <c r="D466" s="2">
        <v>715000</v>
      </c>
    </row>
    <row r="467" spans="1:4" x14ac:dyDescent="0.25">
      <c r="A467" t="s">
        <v>53</v>
      </c>
      <c r="B467" t="s">
        <v>773</v>
      </c>
      <c r="C467" t="s">
        <v>878</v>
      </c>
      <c r="D467" s="2">
        <v>715000</v>
      </c>
    </row>
    <row r="468" spans="1:4" x14ac:dyDescent="0.25">
      <c r="A468" t="s">
        <v>43</v>
      </c>
      <c r="B468" t="s">
        <v>788</v>
      </c>
      <c r="C468" t="s">
        <v>878</v>
      </c>
      <c r="D468" s="2">
        <v>715000</v>
      </c>
    </row>
    <row r="469" spans="1:4" x14ac:dyDescent="0.25">
      <c r="A469" t="s">
        <v>55</v>
      </c>
      <c r="B469" t="s">
        <v>822</v>
      </c>
      <c r="C469" t="s">
        <v>880</v>
      </c>
      <c r="D469" s="2">
        <v>714900</v>
      </c>
    </row>
    <row r="470" spans="1:4" x14ac:dyDescent="0.25">
      <c r="A470" t="s">
        <v>372</v>
      </c>
      <c r="B470" t="s">
        <v>809</v>
      </c>
      <c r="C470" t="s">
        <v>880</v>
      </c>
      <c r="D470" s="2">
        <v>714500</v>
      </c>
    </row>
    <row r="471" spans="1:4" x14ac:dyDescent="0.25">
      <c r="A471" t="s">
        <v>57</v>
      </c>
      <c r="B471" t="s">
        <v>662</v>
      </c>
      <c r="C471" t="s">
        <v>883</v>
      </c>
      <c r="D471" s="2">
        <v>714500</v>
      </c>
    </row>
    <row r="472" spans="1:4" x14ac:dyDescent="0.25">
      <c r="A472" t="s">
        <v>29</v>
      </c>
      <c r="B472" t="s">
        <v>724</v>
      </c>
      <c r="C472" t="s">
        <v>883</v>
      </c>
      <c r="D472" s="2">
        <v>714400</v>
      </c>
    </row>
    <row r="473" spans="1:4" x14ac:dyDescent="0.25">
      <c r="A473" t="s">
        <v>417</v>
      </c>
      <c r="B473" t="s">
        <v>858</v>
      </c>
      <c r="C473" t="s">
        <v>880</v>
      </c>
      <c r="D473" s="2">
        <v>714350</v>
      </c>
    </row>
    <row r="474" spans="1:4" x14ac:dyDescent="0.25">
      <c r="A474" t="s">
        <v>40</v>
      </c>
      <c r="B474" t="s">
        <v>608</v>
      </c>
      <c r="C474" t="s">
        <v>1</v>
      </c>
      <c r="D474" s="2">
        <v>714000</v>
      </c>
    </row>
    <row r="475" spans="1:4" x14ac:dyDescent="0.25">
      <c r="A475" t="s">
        <v>31</v>
      </c>
      <c r="B475" t="s">
        <v>729</v>
      </c>
      <c r="C475" t="s">
        <v>3</v>
      </c>
      <c r="D475" s="2">
        <v>714000</v>
      </c>
    </row>
    <row r="476" spans="1:4" x14ac:dyDescent="0.25">
      <c r="A476" t="s">
        <v>34</v>
      </c>
      <c r="B476" t="s">
        <v>737</v>
      </c>
      <c r="C476" t="s">
        <v>3</v>
      </c>
      <c r="D476" s="2">
        <v>714000</v>
      </c>
    </row>
    <row r="477" spans="1:4" x14ac:dyDescent="0.25">
      <c r="A477" t="s">
        <v>31</v>
      </c>
      <c r="B477" t="s">
        <v>728</v>
      </c>
      <c r="C477" t="s">
        <v>881</v>
      </c>
      <c r="D477" s="2">
        <v>714000</v>
      </c>
    </row>
    <row r="478" spans="1:4" x14ac:dyDescent="0.25">
      <c r="A478" t="s">
        <v>31</v>
      </c>
      <c r="B478" t="s">
        <v>868</v>
      </c>
      <c r="C478" t="s">
        <v>880</v>
      </c>
      <c r="D478" s="2">
        <v>714000</v>
      </c>
    </row>
    <row r="479" spans="1:4" x14ac:dyDescent="0.25">
      <c r="A479" t="s">
        <v>31</v>
      </c>
      <c r="B479" t="s">
        <v>870</v>
      </c>
      <c r="C479" t="s">
        <v>880</v>
      </c>
      <c r="D479" s="2">
        <v>714000</v>
      </c>
    </row>
    <row r="480" spans="1:4" x14ac:dyDescent="0.25">
      <c r="A480" t="s">
        <v>55</v>
      </c>
      <c r="B480" t="s">
        <v>765</v>
      </c>
      <c r="C480" t="s">
        <v>878</v>
      </c>
      <c r="D480" s="2">
        <v>713750</v>
      </c>
    </row>
    <row r="481" spans="1:4" x14ac:dyDescent="0.25">
      <c r="A481" t="s">
        <v>58</v>
      </c>
      <c r="B481" t="s">
        <v>667</v>
      </c>
      <c r="C481" t="s">
        <v>3</v>
      </c>
      <c r="D481" s="2">
        <v>713050</v>
      </c>
    </row>
    <row r="482" spans="1:4" x14ac:dyDescent="0.25">
      <c r="A482" t="s">
        <v>46</v>
      </c>
      <c r="B482" t="s">
        <v>600</v>
      </c>
      <c r="C482" t="s">
        <v>882</v>
      </c>
      <c r="D482" s="2">
        <v>713000</v>
      </c>
    </row>
    <row r="483" spans="1:4" x14ac:dyDescent="0.25">
      <c r="A483" t="s">
        <v>45</v>
      </c>
      <c r="B483" t="s">
        <v>595</v>
      </c>
      <c r="C483" t="s">
        <v>0</v>
      </c>
      <c r="D483" s="2">
        <v>712500</v>
      </c>
    </row>
    <row r="484" spans="1:4" x14ac:dyDescent="0.25">
      <c r="A484" t="s">
        <v>39</v>
      </c>
      <c r="B484" t="s">
        <v>837</v>
      </c>
      <c r="C484" t="s">
        <v>880</v>
      </c>
      <c r="D484" s="2">
        <v>712500</v>
      </c>
    </row>
    <row r="485" spans="1:4" x14ac:dyDescent="0.25">
      <c r="A485" t="s">
        <v>61</v>
      </c>
      <c r="B485" t="s">
        <v>789</v>
      </c>
      <c r="C485" t="s">
        <v>878</v>
      </c>
      <c r="D485" s="2">
        <v>712300</v>
      </c>
    </row>
    <row r="486" spans="1:4" x14ac:dyDescent="0.25">
      <c r="A486" t="s">
        <v>29</v>
      </c>
      <c r="B486" t="s">
        <v>791</v>
      </c>
      <c r="C486" t="s">
        <v>878</v>
      </c>
      <c r="D486" s="2">
        <v>711800</v>
      </c>
    </row>
    <row r="487" spans="1:4" x14ac:dyDescent="0.25">
      <c r="A487" t="s">
        <v>61</v>
      </c>
      <c r="B487" t="s">
        <v>855</v>
      </c>
      <c r="C487" t="s">
        <v>880</v>
      </c>
      <c r="D487" s="2">
        <v>711600</v>
      </c>
    </row>
    <row r="488" spans="1:4" x14ac:dyDescent="0.25">
      <c r="A488" t="s">
        <v>46</v>
      </c>
      <c r="B488" t="s">
        <v>799</v>
      </c>
      <c r="C488" t="s">
        <v>880</v>
      </c>
      <c r="D488" s="2">
        <v>711500</v>
      </c>
    </row>
    <row r="489" spans="1:4" x14ac:dyDescent="0.25">
      <c r="A489" t="s">
        <v>43</v>
      </c>
      <c r="B489" t="s">
        <v>846</v>
      </c>
      <c r="C489" t="s">
        <v>880</v>
      </c>
      <c r="D489" s="2">
        <v>711400</v>
      </c>
    </row>
    <row r="490" spans="1:4" x14ac:dyDescent="0.25">
      <c r="A490" t="s">
        <v>29</v>
      </c>
      <c r="B490" t="s">
        <v>792</v>
      </c>
      <c r="C490" t="s">
        <v>878</v>
      </c>
      <c r="D490" s="2">
        <v>711400</v>
      </c>
    </row>
    <row r="491" spans="1:4" x14ac:dyDescent="0.25">
      <c r="A491" t="s">
        <v>57</v>
      </c>
      <c r="B491" t="s">
        <v>663</v>
      </c>
      <c r="C491" t="s">
        <v>879</v>
      </c>
      <c r="D491" s="2">
        <v>711100</v>
      </c>
    </row>
    <row r="492" spans="1:4" x14ac:dyDescent="0.25">
      <c r="A492" t="s">
        <v>46</v>
      </c>
      <c r="B492" t="s">
        <v>601</v>
      </c>
      <c r="C492" t="s">
        <v>1</v>
      </c>
      <c r="D492" s="2">
        <v>711000</v>
      </c>
    </row>
    <row r="493" spans="1:4" x14ac:dyDescent="0.25">
      <c r="A493" t="s">
        <v>54</v>
      </c>
      <c r="B493" t="s">
        <v>641</v>
      </c>
      <c r="C493" t="s">
        <v>316</v>
      </c>
      <c r="D493" s="2">
        <v>710500</v>
      </c>
    </row>
    <row r="494" spans="1:4" x14ac:dyDescent="0.25">
      <c r="A494" t="s">
        <v>29</v>
      </c>
      <c r="B494" t="s">
        <v>283</v>
      </c>
      <c r="C494" t="s">
        <v>880</v>
      </c>
      <c r="D494" s="2">
        <v>710500</v>
      </c>
    </row>
    <row r="495" spans="1:4" x14ac:dyDescent="0.25">
      <c r="A495" t="s">
        <v>52</v>
      </c>
      <c r="B495" t="s">
        <v>635</v>
      </c>
      <c r="C495" t="s">
        <v>3</v>
      </c>
      <c r="D495" s="2">
        <v>710400</v>
      </c>
    </row>
    <row r="496" spans="1:4" x14ac:dyDescent="0.25">
      <c r="A496" t="s">
        <v>34</v>
      </c>
      <c r="B496" t="s">
        <v>738</v>
      </c>
      <c r="C496" t="s">
        <v>883</v>
      </c>
      <c r="D496" s="2">
        <v>710400</v>
      </c>
    </row>
    <row r="497" spans="1:4" x14ac:dyDescent="0.25">
      <c r="A497" t="s">
        <v>51</v>
      </c>
      <c r="B497" t="s">
        <v>630</v>
      </c>
      <c r="C497" t="s">
        <v>4</v>
      </c>
      <c r="D497" s="2">
        <v>710000</v>
      </c>
    </row>
    <row r="498" spans="1:4" x14ac:dyDescent="0.25">
      <c r="A498" t="s">
        <v>50</v>
      </c>
      <c r="B498" t="s">
        <v>598</v>
      </c>
      <c r="C498" t="s">
        <v>3</v>
      </c>
      <c r="D498" s="2">
        <v>710000</v>
      </c>
    </row>
    <row r="499" spans="1:4" x14ac:dyDescent="0.25">
      <c r="A499" t="s">
        <v>25</v>
      </c>
      <c r="B499" t="s">
        <v>686</v>
      </c>
      <c r="C499" t="s">
        <v>879</v>
      </c>
      <c r="D499" s="2">
        <v>710000</v>
      </c>
    </row>
    <row r="500" spans="1:4" x14ac:dyDescent="0.25">
      <c r="A500" t="s">
        <v>49</v>
      </c>
      <c r="B500" t="s">
        <v>621</v>
      </c>
      <c r="C500" t="s">
        <v>882</v>
      </c>
      <c r="D500" s="2">
        <v>710000</v>
      </c>
    </row>
    <row r="501" spans="1:4" x14ac:dyDescent="0.25">
      <c r="A501" t="s">
        <v>44</v>
      </c>
      <c r="B501" t="s">
        <v>693</v>
      </c>
      <c r="C501" t="s">
        <v>882</v>
      </c>
      <c r="D501" s="2">
        <v>710000</v>
      </c>
    </row>
    <row r="502" spans="1:4" x14ac:dyDescent="0.25">
      <c r="A502" t="s">
        <v>51</v>
      </c>
      <c r="B502" t="s">
        <v>814</v>
      </c>
      <c r="C502" t="s">
        <v>880</v>
      </c>
      <c r="D502" s="2">
        <v>710000</v>
      </c>
    </row>
    <row r="503" spans="1:4" x14ac:dyDescent="0.25">
      <c r="A503" t="s">
        <v>29</v>
      </c>
      <c r="B503" t="s">
        <v>864</v>
      </c>
      <c r="C503" t="s">
        <v>880</v>
      </c>
      <c r="D503" s="2">
        <v>710000</v>
      </c>
    </row>
    <row r="504" spans="1:4" x14ac:dyDescent="0.25">
      <c r="A504" t="s">
        <v>56</v>
      </c>
      <c r="B504" t="s">
        <v>767</v>
      </c>
      <c r="C504" t="s">
        <v>878</v>
      </c>
      <c r="D504" s="2">
        <v>710000</v>
      </c>
    </row>
    <row r="505" spans="1:4" x14ac:dyDescent="0.25">
      <c r="A505" t="s">
        <v>56</v>
      </c>
      <c r="B505" t="s">
        <v>769</v>
      </c>
      <c r="C505" t="s">
        <v>878</v>
      </c>
      <c r="D505" s="2">
        <v>710000</v>
      </c>
    </row>
    <row r="506" spans="1:4" x14ac:dyDescent="0.25">
      <c r="A506" t="s">
        <v>46</v>
      </c>
      <c r="B506" t="s">
        <v>801</v>
      </c>
      <c r="C506" t="s">
        <v>880</v>
      </c>
      <c r="D506" s="2">
        <v>709500</v>
      </c>
    </row>
    <row r="507" spans="1:4" x14ac:dyDescent="0.25">
      <c r="A507" t="s">
        <v>46</v>
      </c>
      <c r="B507" t="s">
        <v>602</v>
      </c>
      <c r="C507" t="s">
        <v>2</v>
      </c>
      <c r="D507" s="2">
        <v>709500</v>
      </c>
    </row>
    <row r="508" spans="1:4" x14ac:dyDescent="0.25">
      <c r="A508" t="s">
        <v>52</v>
      </c>
      <c r="B508" t="s">
        <v>637</v>
      </c>
      <c r="C508" t="s">
        <v>879</v>
      </c>
      <c r="D508" s="2">
        <v>709400</v>
      </c>
    </row>
    <row r="509" spans="1:4" x14ac:dyDescent="0.25">
      <c r="A509" t="s">
        <v>53</v>
      </c>
      <c r="B509" t="s">
        <v>658</v>
      </c>
      <c r="C509" t="s">
        <v>879</v>
      </c>
      <c r="D509" s="2">
        <v>709000</v>
      </c>
    </row>
    <row r="510" spans="1:4" x14ac:dyDescent="0.25">
      <c r="A510" t="s">
        <v>55</v>
      </c>
      <c r="B510" t="s">
        <v>821</v>
      </c>
      <c r="C510" t="s">
        <v>880</v>
      </c>
      <c r="D510" s="2">
        <v>708750</v>
      </c>
    </row>
    <row r="511" spans="1:4" x14ac:dyDescent="0.25">
      <c r="A511" t="s">
        <v>35</v>
      </c>
      <c r="B511" t="s">
        <v>875</v>
      </c>
      <c r="C511" t="s">
        <v>880</v>
      </c>
      <c r="D511" s="2">
        <v>708200</v>
      </c>
    </row>
    <row r="512" spans="1:4" x14ac:dyDescent="0.25">
      <c r="A512" t="s">
        <v>41</v>
      </c>
      <c r="B512" t="s">
        <v>709</v>
      </c>
      <c r="C512" t="s">
        <v>3</v>
      </c>
      <c r="D512" s="2">
        <v>707500</v>
      </c>
    </row>
    <row r="513" spans="1:4" x14ac:dyDescent="0.25">
      <c r="A513" t="s">
        <v>59</v>
      </c>
      <c r="B513" t="s">
        <v>833</v>
      </c>
      <c r="C513" t="s">
        <v>880</v>
      </c>
      <c r="D513" s="2">
        <v>707500</v>
      </c>
    </row>
    <row r="514" spans="1:4" x14ac:dyDescent="0.25">
      <c r="A514" t="s">
        <v>39</v>
      </c>
      <c r="B514" t="s">
        <v>836</v>
      </c>
      <c r="C514" t="s">
        <v>880</v>
      </c>
      <c r="D514" s="2">
        <v>707500</v>
      </c>
    </row>
    <row r="515" spans="1:4" x14ac:dyDescent="0.25">
      <c r="A515" t="s">
        <v>29</v>
      </c>
      <c r="B515" t="s">
        <v>862</v>
      </c>
      <c r="C515" t="s">
        <v>880</v>
      </c>
      <c r="D515" s="2">
        <v>707400</v>
      </c>
    </row>
    <row r="516" spans="1:4" x14ac:dyDescent="0.25">
      <c r="A516" t="s">
        <v>372</v>
      </c>
      <c r="B516" t="s">
        <v>758</v>
      </c>
      <c r="C516" t="s">
        <v>878</v>
      </c>
      <c r="D516" s="2">
        <v>707100</v>
      </c>
    </row>
    <row r="517" spans="1:4" x14ac:dyDescent="0.25">
      <c r="A517" t="s">
        <v>58</v>
      </c>
      <c r="B517" t="s">
        <v>668</v>
      </c>
      <c r="C517" t="s">
        <v>2</v>
      </c>
      <c r="D517" s="2">
        <v>706800</v>
      </c>
    </row>
    <row r="518" spans="1:4" x14ac:dyDescent="0.25">
      <c r="A518" t="s">
        <v>35</v>
      </c>
      <c r="B518" t="s">
        <v>744</v>
      </c>
      <c r="C518" t="s">
        <v>3</v>
      </c>
      <c r="D518" s="2">
        <v>706700</v>
      </c>
    </row>
    <row r="519" spans="1:4" x14ac:dyDescent="0.25">
      <c r="A519" t="s">
        <v>372</v>
      </c>
      <c r="B519" t="s">
        <v>627</v>
      </c>
      <c r="C519" t="s">
        <v>4</v>
      </c>
      <c r="D519" s="2">
        <v>706600</v>
      </c>
    </row>
    <row r="520" spans="1:4" x14ac:dyDescent="0.25">
      <c r="A520" t="s">
        <v>57</v>
      </c>
      <c r="B520" t="s">
        <v>831</v>
      </c>
      <c r="C520" t="s">
        <v>880</v>
      </c>
      <c r="D520" s="2">
        <v>706400</v>
      </c>
    </row>
    <row r="521" spans="1:4" x14ac:dyDescent="0.25">
      <c r="A521" t="s">
        <v>57</v>
      </c>
      <c r="B521" t="s">
        <v>664</v>
      </c>
      <c r="C521" t="s">
        <v>0</v>
      </c>
      <c r="D521" s="2">
        <v>706300</v>
      </c>
    </row>
    <row r="522" spans="1:4" x14ac:dyDescent="0.25">
      <c r="A522" t="s">
        <v>61</v>
      </c>
      <c r="B522" t="s">
        <v>714</v>
      </c>
      <c r="C522" t="s">
        <v>882</v>
      </c>
      <c r="D522" s="2">
        <v>706200</v>
      </c>
    </row>
    <row r="523" spans="1:4" x14ac:dyDescent="0.25">
      <c r="A523" t="s">
        <v>34</v>
      </c>
      <c r="B523" t="s">
        <v>874</v>
      </c>
      <c r="C523" t="s">
        <v>880</v>
      </c>
      <c r="D523" s="2">
        <v>706200</v>
      </c>
    </row>
    <row r="524" spans="1:4" x14ac:dyDescent="0.25">
      <c r="A524" t="s">
        <v>58</v>
      </c>
      <c r="B524" t="s">
        <v>778</v>
      </c>
      <c r="C524" t="s">
        <v>878</v>
      </c>
      <c r="D524" s="2">
        <v>706200</v>
      </c>
    </row>
    <row r="525" spans="1:4" x14ac:dyDescent="0.25">
      <c r="A525" t="s">
        <v>53</v>
      </c>
      <c r="B525" t="s">
        <v>657</v>
      </c>
      <c r="C525" t="s">
        <v>879</v>
      </c>
      <c r="D525" s="2">
        <v>706000</v>
      </c>
    </row>
    <row r="526" spans="1:4" x14ac:dyDescent="0.25">
      <c r="A526" t="s">
        <v>48</v>
      </c>
      <c r="B526" t="s">
        <v>619</v>
      </c>
      <c r="C526" t="s">
        <v>6</v>
      </c>
      <c r="D526" s="2">
        <v>706000</v>
      </c>
    </row>
    <row r="527" spans="1:4" x14ac:dyDescent="0.25">
      <c r="A527" t="s">
        <v>47</v>
      </c>
      <c r="B527" t="s">
        <v>752</v>
      </c>
      <c r="C527" t="s">
        <v>878</v>
      </c>
      <c r="D527" s="2">
        <v>706000</v>
      </c>
    </row>
    <row r="528" spans="1:4" x14ac:dyDescent="0.25">
      <c r="A528" t="s">
        <v>55</v>
      </c>
      <c r="B528" t="s">
        <v>646</v>
      </c>
      <c r="C528" t="s">
        <v>316</v>
      </c>
      <c r="D528" s="2">
        <v>705500</v>
      </c>
    </row>
    <row r="529" spans="1:4" x14ac:dyDescent="0.25">
      <c r="A529" t="s">
        <v>46</v>
      </c>
      <c r="B529" t="s">
        <v>750</v>
      </c>
      <c r="C529" t="s">
        <v>878</v>
      </c>
      <c r="D529" s="2">
        <v>705500</v>
      </c>
    </row>
    <row r="530" spans="1:4" x14ac:dyDescent="0.25">
      <c r="A530" t="s">
        <v>40</v>
      </c>
      <c r="B530" t="s">
        <v>610</v>
      </c>
      <c r="C530" t="s">
        <v>2</v>
      </c>
      <c r="D530" s="2">
        <v>705400</v>
      </c>
    </row>
    <row r="531" spans="1:4" x14ac:dyDescent="0.25">
      <c r="A531" t="s">
        <v>417</v>
      </c>
      <c r="B531" t="s">
        <v>719</v>
      </c>
      <c r="C531" t="s">
        <v>316</v>
      </c>
      <c r="D531" s="2">
        <v>705200</v>
      </c>
    </row>
    <row r="532" spans="1:4" x14ac:dyDescent="0.25">
      <c r="A532" t="s">
        <v>57</v>
      </c>
      <c r="B532" t="s">
        <v>665</v>
      </c>
      <c r="C532" t="s">
        <v>4</v>
      </c>
      <c r="D532" s="2">
        <v>705100</v>
      </c>
    </row>
    <row r="533" spans="1:4" x14ac:dyDescent="0.25">
      <c r="A533" t="s">
        <v>57</v>
      </c>
      <c r="B533" t="s">
        <v>293</v>
      </c>
      <c r="C533" t="s">
        <v>880</v>
      </c>
      <c r="D533" s="2">
        <v>705100</v>
      </c>
    </row>
    <row r="534" spans="1:4" x14ac:dyDescent="0.25">
      <c r="A534" t="s">
        <v>51</v>
      </c>
      <c r="B534" t="s">
        <v>631</v>
      </c>
      <c r="C534" t="s">
        <v>879</v>
      </c>
      <c r="D534" s="2">
        <v>705000</v>
      </c>
    </row>
    <row r="535" spans="1:4" x14ac:dyDescent="0.25">
      <c r="A535" t="s">
        <v>25</v>
      </c>
      <c r="B535" t="s">
        <v>685</v>
      </c>
      <c r="C535" t="s">
        <v>882</v>
      </c>
      <c r="D535" s="2">
        <v>705000</v>
      </c>
    </row>
    <row r="536" spans="1:4" x14ac:dyDescent="0.25">
      <c r="A536" t="s">
        <v>46</v>
      </c>
      <c r="B536" t="s">
        <v>800</v>
      </c>
      <c r="C536" t="s">
        <v>880</v>
      </c>
      <c r="D536" s="2">
        <v>705000</v>
      </c>
    </row>
    <row r="537" spans="1:4" x14ac:dyDescent="0.25">
      <c r="A537" t="s">
        <v>25</v>
      </c>
      <c r="B537" t="s">
        <v>839</v>
      </c>
      <c r="C537" t="s">
        <v>880</v>
      </c>
      <c r="D537" s="2">
        <v>705000</v>
      </c>
    </row>
    <row r="538" spans="1:4" x14ac:dyDescent="0.25">
      <c r="A538" t="s">
        <v>43</v>
      </c>
      <c r="B538" t="s">
        <v>842</v>
      </c>
      <c r="C538" t="s">
        <v>880</v>
      </c>
      <c r="D538" s="2">
        <v>705000</v>
      </c>
    </row>
    <row r="539" spans="1:4" x14ac:dyDescent="0.25">
      <c r="A539" t="s">
        <v>43</v>
      </c>
      <c r="B539" t="s">
        <v>843</v>
      </c>
      <c r="C539" t="s">
        <v>880</v>
      </c>
      <c r="D539" s="2">
        <v>705000</v>
      </c>
    </row>
    <row r="540" spans="1:4" x14ac:dyDescent="0.25">
      <c r="A540" t="s">
        <v>43</v>
      </c>
      <c r="B540" t="s">
        <v>845</v>
      </c>
      <c r="C540" t="s">
        <v>880</v>
      </c>
      <c r="D540" s="2">
        <v>705000</v>
      </c>
    </row>
    <row r="541" spans="1:4" x14ac:dyDescent="0.25">
      <c r="A541" t="s">
        <v>25</v>
      </c>
      <c r="B541" t="s">
        <v>781</v>
      </c>
      <c r="C541" t="s">
        <v>878</v>
      </c>
      <c r="D541" s="2">
        <v>705000</v>
      </c>
    </row>
    <row r="542" spans="1:4" x14ac:dyDescent="0.25">
      <c r="A542" t="s">
        <v>25</v>
      </c>
      <c r="B542" t="s">
        <v>782</v>
      </c>
      <c r="C542" t="s">
        <v>878</v>
      </c>
      <c r="D542" s="2">
        <v>705000</v>
      </c>
    </row>
    <row r="543" spans="1:4" x14ac:dyDescent="0.25">
      <c r="A543" t="s">
        <v>29</v>
      </c>
      <c r="B543" t="s">
        <v>863</v>
      </c>
      <c r="C543" t="s">
        <v>880</v>
      </c>
      <c r="D543" s="2">
        <v>704900</v>
      </c>
    </row>
    <row r="544" spans="1:4" x14ac:dyDescent="0.25">
      <c r="A544" t="s">
        <v>44</v>
      </c>
      <c r="B544" t="s">
        <v>690</v>
      </c>
      <c r="C544" t="s">
        <v>3</v>
      </c>
      <c r="D544" s="2">
        <v>704500</v>
      </c>
    </row>
    <row r="545" spans="1:4" x14ac:dyDescent="0.25">
      <c r="A545" t="s">
        <v>60</v>
      </c>
      <c r="B545" t="s">
        <v>848</v>
      </c>
      <c r="C545" t="s">
        <v>880</v>
      </c>
      <c r="D545" s="2">
        <v>704500</v>
      </c>
    </row>
    <row r="546" spans="1:4" x14ac:dyDescent="0.25">
      <c r="A546" t="s">
        <v>57</v>
      </c>
      <c r="B546" t="s">
        <v>777</v>
      </c>
      <c r="C546" t="s">
        <v>878</v>
      </c>
      <c r="D546" s="2">
        <v>704500</v>
      </c>
    </row>
    <row r="547" spans="1:4" x14ac:dyDescent="0.25">
      <c r="A547" t="s">
        <v>46</v>
      </c>
      <c r="B547" t="s">
        <v>603</v>
      </c>
      <c r="C547" t="s">
        <v>879</v>
      </c>
      <c r="D547" s="2">
        <v>704000</v>
      </c>
    </row>
    <row r="548" spans="1:4" x14ac:dyDescent="0.25">
      <c r="A548" t="s">
        <v>29</v>
      </c>
      <c r="B548" t="s">
        <v>726</v>
      </c>
      <c r="C548" t="s">
        <v>879</v>
      </c>
      <c r="D548" s="2">
        <v>704000</v>
      </c>
    </row>
    <row r="549" spans="1:4" x14ac:dyDescent="0.25">
      <c r="A549" t="s">
        <v>44</v>
      </c>
      <c r="B549" t="s">
        <v>691</v>
      </c>
      <c r="C549" t="s">
        <v>316</v>
      </c>
      <c r="D549" s="2">
        <v>704000</v>
      </c>
    </row>
    <row r="550" spans="1:4" x14ac:dyDescent="0.25">
      <c r="A550" t="s">
        <v>31</v>
      </c>
      <c r="B550" t="s">
        <v>869</v>
      </c>
      <c r="C550" t="s">
        <v>880</v>
      </c>
      <c r="D550" s="2">
        <v>704000</v>
      </c>
    </row>
    <row r="551" spans="1:4" x14ac:dyDescent="0.25">
      <c r="A551" t="s">
        <v>29</v>
      </c>
      <c r="B551" t="s">
        <v>725</v>
      </c>
      <c r="C551" t="s">
        <v>2</v>
      </c>
      <c r="D551" s="2">
        <v>704000</v>
      </c>
    </row>
    <row r="552" spans="1:4" x14ac:dyDescent="0.25">
      <c r="A552" t="s">
        <v>54</v>
      </c>
      <c r="B552" t="s">
        <v>640</v>
      </c>
      <c r="C552" t="s">
        <v>879</v>
      </c>
      <c r="D552" s="2">
        <v>703800</v>
      </c>
    </row>
    <row r="553" spans="1:4" x14ac:dyDescent="0.25">
      <c r="A553" t="s">
        <v>41</v>
      </c>
      <c r="B553" t="s">
        <v>708</v>
      </c>
      <c r="C553" t="s">
        <v>883</v>
      </c>
      <c r="D553" s="2">
        <v>703750</v>
      </c>
    </row>
    <row r="554" spans="1:4" x14ac:dyDescent="0.25">
      <c r="A554" t="s">
        <v>52</v>
      </c>
      <c r="B554" t="s">
        <v>636</v>
      </c>
      <c r="C554" t="s">
        <v>883</v>
      </c>
      <c r="D554" s="2">
        <v>703700</v>
      </c>
    </row>
    <row r="555" spans="1:4" x14ac:dyDescent="0.25">
      <c r="A555" t="s">
        <v>55</v>
      </c>
      <c r="B555" t="s">
        <v>763</v>
      </c>
      <c r="C555" t="s">
        <v>878</v>
      </c>
      <c r="D555" s="2">
        <v>703600</v>
      </c>
    </row>
    <row r="556" spans="1:4" x14ac:dyDescent="0.25">
      <c r="A556" t="s">
        <v>35</v>
      </c>
      <c r="B556" t="s">
        <v>796</v>
      </c>
      <c r="C556" t="s">
        <v>878</v>
      </c>
      <c r="D556" s="2">
        <v>703500</v>
      </c>
    </row>
    <row r="557" spans="1:4" x14ac:dyDescent="0.25">
      <c r="A557" t="s">
        <v>372</v>
      </c>
      <c r="B557" t="s">
        <v>810</v>
      </c>
      <c r="C557" t="s">
        <v>880</v>
      </c>
      <c r="D557" s="2">
        <v>703400</v>
      </c>
    </row>
    <row r="558" spans="1:4" x14ac:dyDescent="0.25">
      <c r="A558" t="s">
        <v>417</v>
      </c>
      <c r="B558" t="s">
        <v>718</v>
      </c>
      <c r="C558" t="s">
        <v>881</v>
      </c>
      <c r="D558" s="2">
        <v>703000</v>
      </c>
    </row>
    <row r="559" spans="1:4" x14ac:dyDescent="0.25">
      <c r="A559" t="s">
        <v>44</v>
      </c>
      <c r="B559" t="s">
        <v>785</v>
      </c>
      <c r="C559" t="s">
        <v>878</v>
      </c>
      <c r="D559" s="2">
        <v>703000</v>
      </c>
    </row>
    <row r="560" spans="1:4" x14ac:dyDescent="0.25">
      <c r="A560" t="s">
        <v>61</v>
      </c>
      <c r="B560" t="s">
        <v>712</v>
      </c>
      <c r="C560" t="s">
        <v>3</v>
      </c>
      <c r="D560" s="2">
        <v>702900</v>
      </c>
    </row>
    <row r="561" spans="1:4" x14ac:dyDescent="0.25">
      <c r="A561" t="s">
        <v>58</v>
      </c>
      <c r="B561" t="s">
        <v>669</v>
      </c>
      <c r="C561" t="s">
        <v>882</v>
      </c>
      <c r="D561" s="2">
        <v>702850</v>
      </c>
    </row>
    <row r="562" spans="1:4" x14ac:dyDescent="0.25">
      <c r="A562" t="s">
        <v>47</v>
      </c>
      <c r="B562" t="s">
        <v>807</v>
      </c>
      <c r="C562" t="s">
        <v>880</v>
      </c>
      <c r="D562" s="2">
        <v>702500</v>
      </c>
    </row>
    <row r="563" spans="1:4" x14ac:dyDescent="0.25">
      <c r="A563" t="s">
        <v>372</v>
      </c>
      <c r="B563" t="s">
        <v>811</v>
      </c>
      <c r="C563" t="s">
        <v>880</v>
      </c>
      <c r="D563" s="2">
        <v>702500</v>
      </c>
    </row>
    <row r="564" spans="1:4" x14ac:dyDescent="0.25">
      <c r="A564" t="s">
        <v>49</v>
      </c>
      <c r="B564" t="s">
        <v>623</v>
      </c>
      <c r="C564" t="s">
        <v>2</v>
      </c>
      <c r="D564" s="2">
        <v>702500</v>
      </c>
    </row>
    <row r="565" spans="1:4" x14ac:dyDescent="0.25">
      <c r="A565" t="s">
        <v>45</v>
      </c>
      <c r="B565" t="s">
        <v>593</v>
      </c>
      <c r="C565" t="s">
        <v>316</v>
      </c>
      <c r="D565" s="2">
        <v>702400</v>
      </c>
    </row>
    <row r="566" spans="1:4" x14ac:dyDescent="0.25">
      <c r="A566" t="s">
        <v>35</v>
      </c>
      <c r="B566" t="s">
        <v>876</v>
      </c>
      <c r="C566" t="s">
        <v>880</v>
      </c>
      <c r="D566" s="2">
        <v>702200</v>
      </c>
    </row>
    <row r="567" spans="1:4" x14ac:dyDescent="0.25">
      <c r="A567" t="s">
        <v>372</v>
      </c>
      <c r="B567" t="s">
        <v>812</v>
      </c>
      <c r="C567" t="s">
        <v>880</v>
      </c>
      <c r="D567" s="2">
        <v>702100</v>
      </c>
    </row>
    <row r="568" spans="1:4" x14ac:dyDescent="0.25">
      <c r="A568" t="s">
        <v>51</v>
      </c>
      <c r="B568" t="s">
        <v>632</v>
      </c>
      <c r="C568" t="s">
        <v>2</v>
      </c>
      <c r="D568" s="2">
        <v>702000</v>
      </c>
    </row>
    <row r="569" spans="1:4" x14ac:dyDescent="0.25">
      <c r="A569" t="s">
        <v>55</v>
      </c>
      <c r="B569" t="s">
        <v>647</v>
      </c>
      <c r="C569" t="s">
        <v>881</v>
      </c>
      <c r="D569" s="2">
        <v>701900</v>
      </c>
    </row>
    <row r="570" spans="1:4" x14ac:dyDescent="0.25">
      <c r="A570" t="s">
        <v>35</v>
      </c>
      <c r="B570" t="s">
        <v>745</v>
      </c>
      <c r="C570" t="s">
        <v>879</v>
      </c>
      <c r="D570" s="2">
        <v>701700</v>
      </c>
    </row>
    <row r="571" spans="1:4" x14ac:dyDescent="0.25">
      <c r="A571" t="s">
        <v>372</v>
      </c>
      <c r="B571" t="s">
        <v>813</v>
      </c>
      <c r="C571" t="s">
        <v>880</v>
      </c>
      <c r="D571" s="2">
        <v>701700</v>
      </c>
    </row>
    <row r="572" spans="1:4" x14ac:dyDescent="0.25">
      <c r="A572" t="s">
        <v>58</v>
      </c>
      <c r="B572" t="s">
        <v>779</v>
      </c>
      <c r="C572" t="s">
        <v>878</v>
      </c>
      <c r="D572" s="2">
        <v>701650</v>
      </c>
    </row>
    <row r="573" spans="1:4" x14ac:dyDescent="0.25">
      <c r="A573" t="s">
        <v>47</v>
      </c>
      <c r="B573" t="s">
        <v>616</v>
      </c>
      <c r="C573" t="s">
        <v>1</v>
      </c>
      <c r="D573" s="2">
        <v>701500</v>
      </c>
    </row>
    <row r="574" spans="1:4" x14ac:dyDescent="0.25">
      <c r="A574" t="s">
        <v>39</v>
      </c>
      <c r="B574" t="s">
        <v>838</v>
      </c>
      <c r="C574" t="s">
        <v>880</v>
      </c>
      <c r="D574" s="2">
        <v>701500</v>
      </c>
    </row>
    <row r="575" spans="1:4" x14ac:dyDescent="0.25">
      <c r="A575" t="s">
        <v>52</v>
      </c>
      <c r="B575" t="s">
        <v>816</v>
      </c>
      <c r="C575" t="s">
        <v>880</v>
      </c>
      <c r="D575" s="2">
        <v>701400</v>
      </c>
    </row>
    <row r="576" spans="1:4" x14ac:dyDescent="0.25">
      <c r="A576" t="s">
        <v>45</v>
      </c>
      <c r="B576" t="s">
        <v>592</v>
      </c>
      <c r="C576" t="s">
        <v>2</v>
      </c>
      <c r="D576" s="2">
        <v>701300</v>
      </c>
    </row>
    <row r="577" spans="1:4" x14ac:dyDescent="0.25">
      <c r="A577" t="s">
        <v>372</v>
      </c>
      <c r="B577" t="s">
        <v>628</v>
      </c>
      <c r="C577" t="s">
        <v>1</v>
      </c>
      <c r="D577" s="2">
        <v>701100</v>
      </c>
    </row>
    <row r="578" spans="1:4" x14ac:dyDescent="0.25">
      <c r="A578" t="s">
        <v>46</v>
      </c>
      <c r="B578" t="s">
        <v>803</v>
      </c>
      <c r="C578" t="s">
        <v>880</v>
      </c>
      <c r="D578" s="2">
        <v>701000</v>
      </c>
    </row>
    <row r="579" spans="1:4" x14ac:dyDescent="0.25">
      <c r="A579" t="s">
        <v>25</v>
      </c>
      <c r="B579" t="s">
        <v>687</v>
      </c>
      <c r="C579" t="s">
        <v>4</v>
      </c>
      <c r="D579" s="2">
        <v>700800</v>
      </c>
    </row>
    <row r="580" spans="1:4" x14ac:dyDescent="0.25">
      <c r="A580" t="s">
        <v>55</v>
      </c>
      <c r="B580" t="s">
        <v>820</v>
      </c>
      <c r="C580" t="s">
        <v>880</v>
      </c>
      <c r="D580" s="2">
        <v>700650</v>
      </c>
    </row>
    <row r="581" spans="1:4" x14ac:dyDescent="0.25">
      <c r="A581" t="s">
        <v>46</v>
      </c>
      <c r="B581" t="s">
        <v>802</v>
      </c>
      <c r="C581" t="s">
        <v>880</v>
      </c>
      <c r="D581" s="2">
        <v>700500</v>
      </c>
    </row>
    <row r="582" spans="1:4" x14ac:dyDescent="0.25">
      <c r="A582" t="s">
        <v>34</v>
      </c>
      <c r="B582" t="s">
        <v>739</v>
      </c>
      <c r="C582" t="s">
        <v>2</v>
      </c>
      <c r="D582" s="2">
        <v>700200</v>
      </c>
    </row>
    <row r="583" spans="1:4" x14ac:dyDescent="0.25">
      <c r="A583" t="s">
        <v>61</v>
      </c>
      <c r="B583" t="s">
        <v>856</v>
      </c>
      <c r="C583" t="s">
        <v>880</v>
      </c>
      <c r="D583" s="2">
        <v>700100</v>
      </c>
    </row>
    <row r="584" spans="1:4" x14ac:dyDescent="0.25">
      <c r="A584" t="s">
        <v>46</v>
      </c>
      <c r="B584" t="s">
        <v>244</v>
      </c>
      <c r="C584" t="s">
        <v>1</v>
      </c>
      <c r="D584" s="2">
        <v>700000</v>
      </c>
    </row>
    <row r="585" spans="1:4" x14ac:dyDescent="0.25">
      <c r="A585" t="s">
        <v>51</v>
      </c>
      <c r="B585" t="s">
        <v>479</v>
      </c>
      <c r="C585" t="s">
        <v>1</v>
      </c>
      <c r="D585" s="2">
        <v>700000</v>
      </c>
    </row>
    <row r="586" spans="1:4" x14ac:dyDescent="0.25">
      <c r="A586" t="s">
        <v>51</v>
      </c>
      <c r="B586" t="s">
        <v>481</v>
      </c>
      <c r="C586" t="s">
        <v>1</v>
      </c>
      <c r="D586" s="2">
        <v>700000</v>
      </c>
    </row>
    <row r="587" spans="1:4" x14ac:dyDescent="0.25">
      <c r="A587" t="s">
        <v>52</v>
      </c>
      <c r="B587" t="s">
        <v>483</v>
      </c>
      <c r="C587" t="s">
        <v>1</v>
      </c>
      <c r="D587" s="2">
        <v>700000</v>
      </c>
    </row>
    <row r="588" spans="1:4" x14ac:dyDescent="0.25">
      <c r="A588" t="s">
        <v>55</v>
      </c>
      <c r="B588" t="s">
        <v>494</v>
      </c>
      <c r="C588" t="s">
        <v>1</v>
      </c>
      <c r="D588" s="2">
        <v>700000</v>
      </c>
    </row>
    <row r="589" spans="1:4" x14ac:dyDescent="0.25">
      <c r="A589" t="s">
        <v>56</v>
      </c>
      <c r="B589" t="s">
        <v>501</v>
      </c>
      <c r="C589" t="s">
        <v>1</v>
      </c>
      <c r="D589" s="2">
        <v>700000</v>
      </c>
    </row>
    <row r="590" spans="1:4" x14ac:dyDescent="0.25">
      <c r="A590" t="s">
        <v>53</v>
      </c>
      <c r="B590" t="s">
        <v>509</v>
      </c>
      <c r="C590" t="s">
        <v>1</v>
      </c>
      <c r="D590" s="2">
        <v>700000</v>
      </c>
    </row>
    <row r="591" spans="1:4" x14ac:dyDescent="0.25">
      <c r="A591" t="s">
        <v>44</v>
      </c>
      <c r="B591" t="s">
        <v>537</v>
      </c>
      <c r="C591" t="s">
        <v>1</v>
      </c>
      <c r="D591" s="2">
        <v>700000</v>
      </c>
    </row>
    <row r="592" spans="1:4" x14ac:dyDescent="0.25">
      <c r="A592" t="s">
        <v>60</v>
      </c>
      <c r="B592" t="s">
        <v>551</v>
      </c>
      <c r="C592" t="s">
        <v>1</v>
      </c>
      <c r="D592" s="2">
        <v>700000</v>
      </c>
    </row>
    <row r="593" spans="1:4" x14ac:dyDescent="0.25">
      <c r="A593" t="s">
        <v>29</v>
      </c>
      <c r="B593" t="s">
        <v>570</v>
      </c>
      <c r="C593" t="s">
        <v>1</v>
      </c>
      <c r="D593" s="2">
        <v>700000</v>
      </c>
    </row>
    <row r="594" spans="1:4" x14ac:dyDescent="0.25">
      <c r="A594" t="s">
        <v>35</v>
      </c>
      <c r="B594" t="s">
        <v>580</v>
      </c>
      <c r="C594" t="s">
        <v>1</v>
      </c>
      <c r="D594" s="2">
        <v>700000</v>
      </c>
    </row>
    <row r="595" spans="1:4" x14ac:dyDescent="0.25">
      <c r="A595" t="s">
        <v>46</v>
      </c>
      <c r="B595" t="s">
        <v>147</v>
      </c>
      <c r="C595" t="s">
        <v>4</v>
      </c>
      <c r="D595" s="2">
        <v>700000</v>
      </c>
    </row>
    <row r="596" spans="1:4" x14ac:dyDescent="0.25">
      <c r="A596" t="s">
        <v>47</v>
      </c>
      <c r="B596" t="s">
        <v>456</v>
      </c>
      <c r="C596" t="s">
        <v>4</v>
      </c>
      <c r="D596" s="2">
        <v>700000</v>
      </c>
    </row>
    <row r="597" spans="1:4" x14ac:dyDescent="0.25">
      <c r="A597" t="s">
        <v>48</v>
      </c>
      <c r="B597" t="s">
        <v>458</v>
      </c>
      <c r="C597" t="s">
        <v>4</v>
      </c>
      <c r="D597" s="2">
        <v>700000</v>
      </c>
    </row>
    <row r="598" spans="1:4" x14ac:dyDescent="0.25">
      <c r="A598" t="s">
        <v>49</v>
      </c>
      <c r="B598" t="s">
        <v>464</v>
      </c>
      <c r="C598" t="s">
        <v>4</v>
      </c>
      <c r="D598" s="2">
        <v>700000</v>
      </c>
    </row>
    <row r="599" spans="1:4" x14ac:dyDescent="0.25">
      <c r="A599" t="s">
        <v>52</v>
      </c>
      <c r="B599" t="s">
        <v>484</v>
      </c>
      <c r="C599" t="s">
        <v>4</v>
      </c>
      <c r="D599" s="2">
        <v>700000</v>
      </c>
    </row>
    <row r="600" spans="1:4" x14ac:dyDescent="0.25">
      <c r="A600" t="s">
        <v>55</v>
      </c>
      <c r="B600" t="s">
        <v>496</v>
      </c>
      <c r="C600" t="s">
        <v>4</v>
      </c>
      <c r="D600" s="2">
        <v>700000</v>
      </c>
    </row>
    <row r="601" spans="1:4" x14ac:dyDescent="0.25">
      <c r="A601" t="s">
        <v>56</v>
      </c>
      <c r="B601" t="s">
        <v>499</v>
      </c>
      <c r="C601" t="s">
        <v>4</v>
      </c>
      <c r="D601" s="2">
        <v>700000</v>
      </c>
    </row>
    <row r="602" spans="1:4" x14ac:dyDescent="0.25">
      <c r="A602" t="s">
        <v>56</v>
      </c>
      <c r="B602" t="s">
        <v>500</v>
      </c>
      <c r="C602" t="s">
        <v>4</v>
      </c>
      <c r="D602" s="2">
        <v>700000</v>
      </c>
    </row>
    <row r="603" spans="1:4" x14ac:dyDescent="0.25">
      <c r="A603" t="s">
        <v>39</v>
      </c>
      <c r="B603" t="s">
        <v>522</v>
      </c>
      <c r="C603" t="s">
        <v>4</v>
      </c>
      <c r="D603" s="2">
        <v>700000</v>
      </c>
    </row>
    <row r="604" spans="1:4" x14ac:dyDescent="0.25">
      <c r="A604" t="s">
        <v>25</v>
      </c>
      <c r="B604" t="s">
        <v>534</v>
      </c>
      <c r="C604" t="s">
        <v>4</v>
      </c>
      <c r="D604" s="2">
        <v>700000</v>
      </c>
    </row>
    <row r="605" spans="1:4" x14ac:dyDescent="0.25">
      <c r="A605" t="s">
        <v>44</v>
      </c>
      <c r="B605" t="s">
        <v>535</v>
      </c>
      <c r="C605" t="s">
        <v>4</v>
      </c>
      <c r="D605" s="2">
        <v>700000</v>
      </c>
    </row>
    <row r="606" spans="1:4" x14ac:dyDescent="0.25">
      <c r="A606" t="s">
        <v>43</v>
      </c>
      <c r="B606" t="s">
        <v>540</v>
      </c>
      <c r="C606" t="s">
        <v>4</v>
      </c>
      <c r="D606" s="2">
        <v>700000</v>
      </c>
    </row>
    <row r="607" spans="1:4" x14ac:dyDescent="0.25">
      <c r="A607" t="s">
        <v>29</v>
      </c>
      <c r="B607" t="s">
        <v>568</v>
      </c>
      <c r="C607" t="s">
        <v>4</v>
      </c>
      <c r="D607" s="2">
        <v>700000</v>
      </c>
    </row>
    <row r="608" spans="1:4" x14ac:dyDescent="0.25">
      <c r="A608" t="s">
        <v>31</v>
      </c>
      <c r="B608" t="s">
        <v>576</v>
      </c>
      <c r="C608" t="s">
        <v>4</v>
      </c>
      <c r="D608" s="2">
        <v>700000</v>
      </c>
    </row>
    <row r="609" spans="1:4" x14ac:dyDescent="0.25">
      <c r="A609" t="s">
        <v>35</v>
      </c>
      <c r="B609" t="s">
        <v>583</v>
      </c>
      <c r="C609" t="s">
        <v>4</v>
      </c>
      <c r="D609" s="2">
        <v>700000</v>
      </c>
    </row>
    <row r="610" spans="1:4" x14ac:dyDescent="0.25">
      <c r="A610" t="s">
        <v>45</v>
      </c>
      <c r="B610" t="s">
        <v>430</v>
      </c>
      <c r="C610" t="s">
        <v>0</v>
      </c>
      <c r="D610" s="2">
        <v>700000</v>
      </c>
    </row>
    <row r="611" spans="1:4" x14ac:dyDescent="0.25">
      <c r="A611" t="s">
        <v>46</v>
      </c>
      <c r="B611" t="s">
        <v>441</v>
      </c>
      <c r="C611" t="s">
        <v>0</v>
      </c>
      <c r="D611" s="2">
        <v>700000</v>
      </c>
    </row>
    <row r="612" spans="1:4" x14ac:dyDescent="0.25">
      <c r="A612" t="s">
        <v>40</v>
      </c>
      <c r="B612" t="s">
        <v>447</v>
      </c>
      <c r="C612" t="s">
        <v>0</v>
      </c>
      <c r="D612" s="2">
        <v>700000</v>
      </c>
    </row>
    <row r="613" spans="1:4" x14ac:dyDescent="0.25">
      <c r="A613" t="s">
        <v>49</v>
      </c>
      <c r="B613" t="s">
        <v>351</v>
      </c>
      <c r="C613" t="s">
        <v>0</v>
      </c>
      <c r="D613" s="2">
        <v>700000</v>
      </c>
    </row>
    <row r="614" spans="1:4" x14ac:dyDescent="0.25">
      <c r="A614" t="s">
        <v>51</v>
      </c>
      <c r="B614" t="s">
        <v>478</v>
      </c>
      <c r="C614" t="s">
        <v>0</v>
      </c>
      <c r="D614" s="2">
        <v>700000</v>
      </c>
    </row>
    <row r="615" spans="1:4" x14ac:dyDescent="0.25">
      <c r="A615" t="s">
        <v>42</v>
      </c>
      <c r="B615" t="s">
        <v>506</v>
      </c>
      <c r="C615" t="s">
        <v>0</v>
      </c>
      <c r="D615" s="2">
        <v>700000</v>
      </c>
    </row>
    <row r="616" spans="1:4" x14ac:dyDescent="0.25">
      <c r="A616" t="s">
        <v>59</v>
      </c>
      <c r="B616" t="s">
        <v>520</v>
      </c>
      <c r="C616" t="s">
        <v>0</v>
      </c>
      <c r="D616" s="2">
        <v>700000</v>
      </c>
    </row>
    <row r="617" spans="1:4" x14ac:dyDescent="0.25">
      <c r="A617" t="s">
        <v>25</v>
      </c>
      <c r="B617" t="s">
        <v>526</v>
      </c>
      <c r="C617" t="s">
        <v>0</v>
      </c>
      <c r="D617" s="2">
        <v>700000</v>
      </c>
    </row>
    <row r="618" spans="1:4" x14ac:dyDescent="0.25">
      <c r="A618" t="s">
        <v>25</v>
      </c>
      <c r="B618" t="s">
        <v>527</v>
      </c>
      <c r="C618" t="s">
        <v>0</v>
      </c>
      <c r="D618" s="2">
        <v>700000</v>
      </c>
    </row>
    <row r="619" spans="1:4" x14ac:dyDescent="0.25">
      <c r="A619" t="s">
        <v>25</v>
      </c>
      <c r="B619" t="s">
        <v>532</v>
      </c>
      <c r="C619" t="s">
        <v>0</v>
      </c>
      <c r="D619" s="2">
        <v>700000</v>
      </c>
    </row>
    <row r="620" spans="1:4" x14ac:dyDescent="0.25">
      <c r="A620" t="s">
        <v>41</v>
      </c>
      <c r="B620" t="s">
        <v>553</v>
      </c>
      <c r="C620" t="s">
        <v>0</v>
      </c>
      <c r="D620" s="2">
        <v>700000</v>
      </c>
    </row>
    <row r="621" spans="1:4" x14ac:dyDescent="0.25">
      <c r="A621" t="s">
        <v>41</v>
      </c>
      <c r="B621" t="s">
        <v>554</v>
      </c>
      <c r="C621" t="s">
        <v>0</v>
      </c>
      <c r="D621" s="2">
        <v>700000</v>
      </c>
    </row>
    <row r="622" spans="1:4" x14ac:dyDescent="0.25">
      <c r="A622" t="s">
        <v>29</v>
      </c>
      <c r="B622" t="s">
        <v>567</v>
      </c>
      <c r="C622" t="s">
        <v>0</v>
      </c>
      <c r="D622" s="2">
        <v>700000</v>
      </c>
    </row>
    <row r="623" spans="1:4" x14ac:dyDescent="0.25">
      <c r="A623" t="s">
        <v>31</v>
      </c>
      <c r="B623" t="s">
        <v>573</v>
      </c>
      <c r="C623" t="s">
        <v>0</v>
      </c>
      <c r="D623" s="2">
        <v>700000</v>
      </c>
    </row>
    <row r="624" spans="1:4" x14ac:dyDescent="0.25">
      <c r="A624" t="s">
        <v>31</v>
      </c>
      <c r="B624" t="s">
        <v>577</v>
      </c>
      <c r="C624" t="s">
        <v>0</v>
      </c>
      <c r="D624" s="2">
        <v>700000</v>
      </c>
    </row>
    <row r="625" spans="1:4" x14ac:dyDescent="0.25">
      <c r="A625" t="s">
        <v>46</v>
      </c>
      <c r="B625" t="s">
        <v>440</v>
      </c>
      <c r="C625" t="s">
        <v>3</v>
      </c>
      <c r="D625" s="2">
        <v>700000</v>
      </c>
    </row>
    <row r="626" spans="1:4" x14ac:dyDescent="0.25">
      <c r="A626" t="s">
        <v>40</v>
      </c>
      <c r="B626" t="s">
        <v>446</v>
      </c>
      <c r="C626" t="s">
        <v>3</v>
      </c>
      <c r="D626" s="2">
        <v>700000</v>
      </c>
    </row>
    <row r="627" spans="1:4" x14ac:dyDescent="0.25">
      <c r="A627" t="s">
        <v>47</v>
      </c>
      <c r="B627" t="s">
        <v>451</v>
      </c>
      <c r="C627" t="s">
        <v>3</v>
      </c>
      <c r="D627" s="2">
        <v>700000</v>
      </c>
    </row>
    <row r="628" spans="1:4" x14ac:dyDescent="0.25">
      <c r="A628" t="s">
        <v>48</v>
      </c>
      <c r="B628" t="s">
        <v>321</v>
      </c>
      <c r="C628" t="s">
        <v>3</v>
      </c>
      <c r="D628" s="2">
        <v>700000</v>
      </c>
    </row>
    <row r="629" spans="1:4" x14ac:dyDescent="0.25">
      <c r="A629" t="s">
        <v>49</v>
      </c>
      <c r="B629" t="s">
        <v>185</v>
      </c>
      <c r="C629" t="s">
        <v>3</v>
      </c>
      <c r="D629" s="2">
        <v>700000</v>
      </c>
    </row>
    <row r="630" spans="1:4" x14ac:dyDescent="0.25">
      <c r="A630" t="s">
        <v>49</v>
      </c>
      <c r="B630" t="s">
        <v>466</v>
      </c>
      <c r="C630" t="s">
        <v>3</v>
      </c>
      <c r="D630" s="2">
        <v>700000</v>
      </c>
    </row>
    <row r="631" spans="1:4" x14ac:dyDescent="0.25">
      <c r="A631" t="s">
        <v>372</v>
      </c>
      <c r="B631" t="s">
        <v>475</v>
      </c>
      <c r="C631" t="s">
        <v>3</v>
      </c>
      <c r="D631" s="2">
        <v>700000</v>
      </c>
    </row>
    <row r="632" spans="1:4" x14ac:dyDescent="0.25">
      <c r="A632" t="s">
        <v>51</v>
      </c>
      <c r="B632" t="s">
        <v>476</v>
      </c>
      <c r="C632" t="s">
        <v>3</v>
      </c>
      <c r="D632" s="2">
        <v>700000</v>
      </c>
    </row>
    <row r="633" spans="1:4" x14ac:dyDescent="0.25">
      <c r="A633" t="s">
        <v>55</v>
      </c>
      <c r="B633" t="s">
        <v>495</v>
      </c>
      <c r="C633" t="s">
        <v>3</v>
      </c>
      <c r="D633" s="2">
        <v>700000</v>
      </c>
    </row>
    <row r="634" spans="1:4" x14ac:dyDescent="0.25">
      <c r="A634" t="s">
        <v>55</v>
      </c>
      <c r="B634" t="s">
        <v>497</v>
      </c>
      <c r="C634" t="s">
        <v>3</v>
      </c>
      <c r="D634" s="2">
        <v>700000</v>
      </c>
    </row>
    <row r="635" spans="1:4" x14ac:dyDescent="0.25">
      <c r="A635" t="s">
        <v>56</v>
      </c>
      <c r="B635" t="s">
        <v>503</v>
      </c>
      <c r="C635" t="s">
        <v>3</v>
      </c>
      <c r="D635" s="2">
        <v>700000</v>
      </c>
    </row>
    <row r="636" spans="1:4" x14ac:dyDescent="0.25">
      <c r="A636" t="s">
        <v>53</v>
      </c>
      <c r="B636" t="s">
        <v>507</v>
      </c>
      <c r="C636" t="s">
        <v>3</v>
      </c>
      <c r="D636" s="2">
        <v>700000</v>
      </c>
    </row>
    <row r="637" spans="1:4" x14ac:dyDescent="0.25">
      <c r="A637" t="s">
        <v>59</v>
      </c>
      <c r="B637" t="s">
        <v>521</v>
      </c>
      <c r="C637" t="s">
        <v>3</v>
      </c>
      <c r="D637" s="2">
        <v>700000</v>
      </c>
    </row>
    <row r="638" spans="1:4" x14ac:dyDescent="0.25">
      <c r="A638" t="s">
        <v>25</v>
      </c>
      <c r="B638" t="s">
        <v>530</v>
      </c>
      <c r="C638" t="s">
        <v>3</v>
      </c>
      <c r="D638" s="2">
        <v>700000</v>
      </c>
    </row>
    <row r="639" spans="1:4" x14ac:dyDescent="0.25">
      <c r="A639" t="s">
        <v>43</v>
      </c>
      <c r="B639" t="s">
        <v>539</v>
      </c>
      <c r="C639" t="s">
        <v>3</v>
      </c>
      <c r="D639" s="2">
        <v>700000</v>
      </c>
    </row>
    <row r="640" spans="1:4" x14ac:dyDescent="0.25">
      <c r="A640" t="s">
        <v>43</v>
      </c>
      <c r="B640" t="s">
        <v>543</v>
      </c>
      <c r="C640" t="s">
        <v>3</v>
      </c>
      <c r="D640" s="2">
        <v>700000</v>
      </c>
    </row>
    <row r="641" spans="1:4" x14ac:dyDescent="0.25">
      <c r="A641" t="s">
        <v>60</v>
      </c>
      <c r="B641" t="s">
        <v>550</v>
      </c>
      <c r="C641" t="s">
        <v>3</v>
      </c>
      <c r="D641" s="2">
        <v>700000</v>
      </c>
    </row>
    <row r="642" spans="1:4" x14ac:dyDescent="0.25">
      <c r="A642" t="s">
        <v>41</v>
      </c>
      <c r="B642" t="s">
        <v>552</v>
      </c>
      <c r="C642" t="s">
        <v>3</v>
      </c>
      <c r="D642" s="2">
        <v>700000</v>
      </c>
    </row>
    <row r="643" spans="1:4" x14ac:dyDescent="0.25">
      <c r="A643" t="s">
        <v>29</v>
      </c>
      <c r="B643" t="s">
        <v>325</v>
      </c>
      <c r="C643" t="s">
        <v>3</v>
      </c>
      <c r="D643" s="2">
        <v>700000</v>
      </c>
    </row>
    <row r="644" spans="1:4" x14ac:dyDescent="0.25">
      <c r="A644" t="s">
        <v>29</v>
      </c>
      <c r="B644" t="s">
        <v>569</v>
      </c>
      <c r="C644" t="s">
        <v>3</v>
      </c>
      <c r="D644" s="2">
        <v>700000</v>
      </c>
    </row>
    <row r="645" spans="1:4" x14ac:dyDescent="0.25">
      <c r="A645" t="s">
        <v>31</v>
      </c>
      <c r="B645" t="s">
        <v>243</v>
      </c>
      <c r="C645" t="s">
        <v>3</v>
      </c>
      <c r="D645" s="2">
        <v>700000</v>
      </c>
    </row>
    <row r="646" spans="1:4" x14ac:dyDescent="0.25">
      <c r="A646" t="s">
        <v>31</v>
      </c>
      <c r="B646" t="s">
        <v>574</v>
      </c>
      <c r="C646" t="s">
        <v>3</v>
      </c>
      <c r="D646" s="2">
        <v>700000</v>
      </c>
    </row>
    <row r="647" spans="1:4" x14ac:dyDescent="0.25">
      <c r="A647" t="s">
        <v>34</v>
      </c>
      <c r="B647" t="s">
        <v>579</v>
      </c>
      <c r="C647" t="s">
        <v>3</v>
      </c>
      <c r="D647" s="2">
        <v>700000</v>
      </c>
    </row>
    <row r="648" spans="1:4" x14ac:dyDescent="0.25">
      <c r="A648" t="s">
        <v>35</v>
      </c>
      <c r="B648" t="s">
        <v>581</v>
      </c>
      <c r="C648" t="s">
        <v>3</v>
      </c>
      <c r="D648" s="2">
        <v>700000</v>
      </c>
    </row>
    <row r="649" spans="1:4" x14ac:dyDescent="0.25">
      <c r="A649" t="s">
        <v>35</v>
      </c>
      <c r="B649" t="s">
        <v>586</v>
      </c>
      <c r="C649" t="s">
        <v>3</v>
      </c>
      <c r="D649" s="2">
        <v>700000</v>
      </c>
    </row>
    <row r="650" spans="1:4" x14ac:dyDescent="0.25">
      <c r="A650" t="s">
        <v>45</v>
      </c>
      <c r="B650" t="s">
        <v>433</v>
      </c>
      <c r="C650" t="s">
        <v>879</v>
      </c>
      <c r="D650" s="2">
        <v>700000</v>
      </c>
    </row>
    <row r="651" spans="1:4" x14ac:dyDescent="0.25">
      <c r="A651" t="s">
        <v>50</v>
      </c>
      <c r="B651" t="s">
        <v>435</v>
      </c>
      <c r="C651" t="s">
        <v>879</v>
      </c>
      <c r="D651" s="2">
        <v>700000</v>
      </c>
    </row>
    <row r="652" spans="1:4" x14ac:dyDescent="0.25">
      <c r="A652" t="s">
        <v>46</v>
      </c>
      <c r="B652" t="s">
        <v>443</v>
      </c>
      <c r="C652" t="s">
        <v>879</v>
      </c>
      <c r="D652" s="2">
        <v>700000</v>
      </c>
    </row>
    <row r="653" spans="1:4" x14ac:dyDescent="0.25">
      <c r="A653" t="s">
        <v>47</v>
      </c>
      <c r="B653" t="s">
        <v>449</v>
      </c>
      <c r="C653" t="s">
        <v>879</v>
      </c>
      <c r="D653" s="2">
        <v>700000</v>
      </c>
    </row>
    <row r="654" spans="1:4" x14ac:dyDescent="0.25">
      <c r="A654" t="s">
        <v>372</v>
      </c>
      <c r="B654" t="s">
        <v>474</v>
      </c>
      <c r="C654" t="s">
        <v>879</v>
      </c>
      <c r="D654" s="2">
        <v>700000</v>
      </c>
    </row>
    <row r="655" spans="1:4" x14ac:dyDescent="0.25">
      <c r="A655" t="s">
        <v>52</v>
      </c>
      <c r="B655" t="s">
        <v>485</v>
      </c>
      <c r="C655" t="s">
        <v>879</v>
      </c>
      <c r="D655" s="2">
        <v>700000</v>
      </c>
    </row>
    <row r="656" spans="1:4" x14ac:dyDescent="0.25">
      <c r="A656" t="s">
        <v>42</v>
      </c>
      <c r="B656" t="s">
        <v>505</v>
      </c>
      <c r="C656" t="s">
        <v>879</v>
      </c>
      <c r="D656" s="2">
        <v>700000</v>
      </c>
    </row>
    <row r="657" spans="1:4" x14ac:dyDescent="0.25">
      <c r="A657" t="s">
        <v>53</v>
      </c>
      <c r="B657" t="s">
        <v>512</v>
      </c>
      <c r="C657" t="s">
        <v>879</v>
      </c>
      <c r="D657" s="2">
        <v>700000</v>
      </c>
    </row>
    <row r="658" spans="1:4" x14ac:dyDescent="0.25">
      <c r="A658" t="s">
        <v>58</v>
      </c>
      <c r="B658" t="s">
        <v>72</v>
      </c>
      <c r="C658" t="s">
        <v>879</v>
      </c>
      <c r="D658" s="2">
        <v>700000</v>
      </c>
    </row>
    <row r="659" spans="1:4" x14ac:dyDescent="0.25">
      <c r="A659" t="s">
        <v>59</v>
      </c>
      <c r="B659" t="s">
        <v>329</v>
      </c>
      <c r="C659" t="s">
        <v>879</v>
      </c>
      <c r="D659" s="2">
        <v>700000</v>
      </c>
    </row>
    <row r="660" spans="1:4" x14ac:dyDescent="0.25">
      <c r="A660" t="s">
        <v>41</v>
      </c>
      <c r="B660" t="s">
        <v>555</v>
      </c>
      <c r="C660" t="s">
        <v>879</v>
      </c>
      <c r="D660" s="2">
        <v>700000</v>
      </c>
    </row>
    <row r="661" spans="1:4" x14ac:dyDescent="0.25">
      <c r="A661" t="s">
        <v>61</v>
      </c>
      <c r="B661" t="s">
        <v>559</v>
      </c>
      <c r="C661" t="s">
        <v>879</v>
      </c>
      <c r="D661" s="2">
        <v>700000</v>
      </c>
    </row>
    <row r="662" spans="1:4" x14ac:dyDescent="0.25">
      <c r="A662" t="s">
        <v>417</v>
      </c>
      <c r="B662" t="s">
        <v>564</v>
      </c>
      <c r="C662" t="s">
        <v>879</v>
      </c>
      <c r="D662" s="2">
        <v>700000</v>
      </c>
    </row>
    <row r="663" spans="1:4" x14ac:dyDescent="0.25">
      <c r="A663" t="s">
        <v>31</v>
      </c>
      <c r="B663" t="s">
        <v>572</v>
      </c>
      <c r="C663" t="s">
        <v>879</v>
      </c>
      <c r="D663" s="2">
        <v>700000</v>
      </c>
    </row>
    <row r="664" spans="1:4" x14ac:dyDescent="0.25">
      <c r="A664" t="s">
        <v>34</v>
      </c>
      <c r="B664" t="s">
        <v>165</v>
      </c>
      <c r="C664" t="s">
        <v>879</v>
      </c>
      <c r="D664" s="2">
        <v>700000</v>
      </c>
    </row>
    <row r="665" spans="1:4" x14ac:dyDescent="0.25">
      <c r="A665" t="s">
        <v>45</v>
      </c>
      <c r="B665" t="s">
        <v>427</v>
      </c>
      <c r="C665" t="s">
        <v>6</v>
      </c>
      <c r="D665" s="2">
        <v>700000</v>
      </c>
    </row>
    <row r="666" spans="1:4" x14ac:dyDescent="0.25">
      <c r="A666" t="s">
        <v>55</v>
      </c>
      <c r="B666" t="s">
        <v>492</v>
      </c>
      <c r="C666" t="s">
        <v>6</v>
      </c>
      <c r="D666" s="2">
        <v>700000</v>
      </c>
    </row>
    <row r="667" spans="1:4" x14ac:dyDescent="0.25">
      <c r="A667" t="s">
        <v>417</v>
      </c>
      <c r="B667" t="s">
        <v>563</v>
      </c>
      <c r="C667" t="s">
        <v>6</v>
      </c>
      <c r="D667" s="2">
        <v>700000</v>
      </c>
    </row>
    <row r="668" spans="1:4" x14ac:dyDescent="0.25">
      <c r="A668" t="s">
        <v>48</v>
      </c>
      <c r="B668" t="s">
        <v>459</v>
      </c>
      <c r="C668" t="s">
        <v>882</v>
      </c>
      <c r="D668" s="2">
        <v>700000</v>
      </c>
    </row>
    <row r="669" spans="1:4" x14ac:dyDescent="0.25">
      <c r="A669" t="s">
        <v>372</v>
      </c>
      <c r="B669" t="s">
        <v>469</v>
      </c>
      <c r="C669" t="s">
        <v>882</v>
      </c>
      <c r="D669" s="2">
        <v>700000</v>
      </c>
    </row>
    <row r="670" spans="1:4" x14ac:dyDescent="0.25">
      <c r="A670" t="s">
        <v>43</v>
      </c>
      <c r="B670" t="s">
        <v>541</v>
      </c>
      <c r="C670" t="s">
        <v>882</v>
      </c>
      <c r="D670" s="2">
        <v>700000</v>
      </c>
    </row>
    <row r="671" spans="1:4" x14ac:dyDescent="0.25">
      <c r="A671" t="s">
        <v>417</v>
      </c>
      <c r="B671" t="s">
        <v>562</v>
      </c>
      <c r="C671" t="s">
        <v>882</v>
      </c>
      <c r="D671" s="2">
        <v>700000</v>
      </c>
    </row>
    <row r="672" spans="1:4" x14ac:dyDescent="0.25">
      <c r="A672" t="s">
        <v>45</v>
      </c>
      <c r="B672" t="s">
        <v>429</v>
      </c>
      <c r="C672" t="s">
        <v>316</v>
      </c>
      <c r="D672" s="2">
        <v>700000</v>
      </c>
    </row>
    <row r="673" spans="1:4" x14ac:dyDescent="0.25">
      <c r="A673" t="s">
        <v>45</v>
      </c>
      <c r="B673" t="s">
        <v>431</v>
      </c>
      <c r="C673" t="s">
        <v>316</v>
      </c>
      <c r="D673" s="2">
        <v>700000</v>
      </c>
    </row>
    <row r="674" spans="1:4" x14ac:dyDescent="0.25">
      <c r="A674" t="s">
        <v>47</v>
      </c>
      <c r="B674" t="s">
        <v>452</v>
      </c>
      <c r="C674" t="s">
        <v>316</v>
      </c>
      <c r="D674" s="2">
        <v>700000</v>
      </c>
    </row>
    <row r="675" spans="1:4" x14ac:dyDescent="0.25">
      <c r="A675" t="s">
        <v>49</v>
      </c>
      <c r="B675" t="s">
        <v>465</v>
      </c>
      <c r="C675" t="s">
        <v>316</v>
      </c>
      <c r="D675" s="2">
        <v>700000</v>
      </c>
    </row>
    <row r="676" spans="1:4" x14ac:dyDescent="0.25">
      <c r="A676" t="s">
        <v>49</v>
      </c>
      <c r="B676" t="s">
        <v>468</v>
      </c>
      <c r="C676" t="s">
        <v>316</v>
      </c>
      <c r="D676" s="2">
        <v>700000</v>
      </c>
    </row>
    <row r="677" spans="1:4" x14ac:dyDescent="0.25">
      <c r="A677" t="s">
        <v>372</v>
      </c>
      <c r="B677" t="s">
        <v>472</v>
      </c>
      <c r="C677" t="s">
        <v>316</v>
      </c>
      <c r="D677" s="2">
        <v>700000</v>
      </c>
    </row>
    <row r="678" spans="1:4" x14ac:dyDescent="0.25">
      <c r="A678" t="s">
        <v>55</v>
      </c>
      <c r="B678" t="s">
        <v>498</v>
      </c>
      <c r="C678" t="s">
        <v>316</v>
      </c>
      <c r="D678" s="2">
        <v>700000</v>
      </c>
    </row>
    <row r="679" spans="1:4" x14ac:dyDescent="0.25">
      <c r="A679" t="s">
        <v>53</v>
      </c>
      <c r="B679" t="s">
        <v>510</v>
      </c>
      <c r="C679" t="s">
        <v>316</v>
      </c>
      <c r="D679" s="2">
        <v>700000</v>
      </c>
    </row>
    <row r="680" spans="1:4" x14ac:dyDescent="0.25">
      <c r="A680" t="s">
        <v>57</v>
      </c>
      <c r="B680" t="s">
        <v>514</v>
      </c>
      <c r="C680" t="s">
        <v>316</v>
      </c>
      <c r="D680" s="2">
        <v>700000</v>
      </c>
    </row>
    <row r="681" spans="1:4" x14ac:dyDescent="0.25">
      <c r="A681" t="s">
        <v>58</v>
      </c>
      <c r="B681" t="s">
        <v>517</v>
      </c>
      <c r="C681" t="s">
        <v>316</v>
      </c>
      <c r="D681" s="2">
        <v>700000</v>
      </c>
    </row>
    <row r="682" spans="1:4" x14ac:dyDescent="0.25">
      <c r="A682" t="s">
        <v>43</v>
      </c>
      <c r="B682" t="s">
        <v>544</v>
      </c>
      <c r="C682" t="s">
        <v>316</v>
      </c>
      <c r="D682" s="2">
        <v>700000</v>
      </c>
    </row>
    <row r="683" spans="1:4" x14ac:dyDescent="0.25">
      <c r="A683" t="s">
        <v>60</v>
      </c>
      <c r="B683" t="s">
        <v>549</v>
      </c>
      <c r="C683" t="s">
        <v>316</v>
      </c>
      <c r="D683" s="2">
        <v>700000</v>
      </c>
    </row>
    <row r="684" spans="1:4" x14ac:dyDescent="0.25">
      <c r="A684" t="s">
        <v>41</v>
      </c>
      <c r="B684" t="s">
        <v>558</v>
      </c>
      <c r="C684" t="s">
        <v>316</v>
      </c>
      <c r="D684" s="2">
        <v>700000</v>
      </c>
    </row>
    <row r="685" spans="1:4" x14ac:dyDescent="0.25">
      <c r="A685" t="s">
        <v>417</v>
      </c>
      <c r="B685" t="s">
        <v>565</v>
      </c>
      <c r="C685" t="s">
        <v>316</v>
      </c>
      <c r="D685" s="2">
        <v>700000</v>
      </c>
    </row>
    <row r="686" spans="1:4" x14ac:dyDescent="0.25">
      <c r="A686" t="s">
        <v>31</v>
      </c>
      <c r="B686" t="s">
        <v>575</v>
      </c>
      <c r="C686" t="s">
        <v>316</v>
      </c>
      <c r="D686" s="2">
        <v>700000</v>
      </c>
    </row>
    <row r="687" spans="1:4" x14ac:dyDescent="0.25">
      <c r="A687" t="s">
        <v>35</v>
      </c>
      <c r="B687" t="s">
        <v>584</v>
      </c>
      <c r="C687" t="s">
        <v>316</v>
      </c>
      <c r="D687" s="2">
        <v>700000</v>
      </c>
    </row>
    <row r="688" spans="1:4" x14ac:dyDescent="0.25">
      <c r="A688" t="s">
        <v>51</v>
      </c>
      <c r="B688" t="s">
        <v>480</v>
      </c>
      <c r="C688" t="s">
        <v>880</v>
      </c>
      <c r="D688" s="2">
        <v>700000</v>
      </c>
    </row>
    <row r="689" spans="1:4" x14ac:dyDescent="0.25">
      <c r="A689" t="s">
        <v>58</v>
      </c>
      <c r="B689" t="s">
        <v>519</v>
      </c>
      <c r="C689" t="s">
        <v>880</v>
      </c>
      <c r="D689" s="2">
        <v>700000</v>
      </c>
    </row>
    <row r="690" spans="1:4" x14ac:dyDescent="0.25">
      <c r="A690" t="s">
        <v>372</v>
      </c>
      <c r="B690" t="s">
        <v>471</v>
      </c>
      <c r="C690" t="s">
        <v>881</v>
      </c>
      <c r="D690" s="2">
        <v>700000</v>
      </c>
    </row>
    <row r="691" spans="1:4" x14ac:dyDescent="0.25">
      <c r="A691" t="s">
        <v>58</v>
      </c>
      <c r="B691" t="s">
        <v>518</v>
      </c>
      <c r="C691" t="s">
        <v>881</v>
      </c>
      <c r="D691" s="2">
        <v>700000</v>
      </c>
    </row>
    <row r="692" spans="1:4" x14ac:dyDescent="0.25">
      <c r="A692" t="s">
        <v>25</v>
      </c>
      <c r="B692" t="s">
        <v>533</v>
      </c>
      <c r="C692" t="s">
        <v>881</v>
      </c>
      <c r="D692" s="2">
        <v>700000</v>
      </c>
    </row>
    <row r="693" spans="1:4" x14ac:dyDescent="0.25">
      <c r="A693" t="s">
        <v>61</v>
      </c>
      <c r="B693" t="s">
        <v>561</v>
      </c>
      <c r="C693" t="s">
        <v>881</v>
      </c>
      <c r="D693" s="2">
        <v>700000</v>
      </c>
    </row>
    <row r="694" spans="1:4" x14ac:dyDescent="0.25">
      <c r="A694" t="s">
        <v>45</v>
      </c>
      <c r="B694" t="s">
        <v>353</v>
      </c>
      <c r="C694" t="s">
        <v>880</v>
      </c>
      <c r="D694" s="2">
        <v>700000</v>
      </c>
    </row>
    <row r="695" spans="1:4" x14ac:dyDescent="0.25">
      <c r="A695" t="s">
        <v>50</v>
      </c>
      <c r="B695" t="s">
        <v>309</v>
      </c>
      <c r="C695" t="s">
        <v>880</v>
      </c>
      <c r="D695" s="2">
        <v>700000</v>
      </c>
    </row>
    <row r="696" spans="1:4" x14ac:dyDescent="0.25">
      <c r="A696" t="s">
        <v>50</v>
      </c>
      <c r="B696" t="s">
        <v>354</v>
      </c>
      <c r="C696" t="s">
        <v>880</v>
      </c>
      <c r="D696" s="2">
        <v>700000</v>
      </c>
    </row>
    <row r="697" spans="1:4" x14ac:dyDescent="0.25">
      <c r="A697" t="s">
        <v>50</v>
      </c>
      <c r="B697" t="s">
        <v>341</v>
      </c>
      <c r="C697" t="s">
        <v>880</v>
      </c>
      <c r="D697" s="2">
        <v>700000</v>
      </c>
    </row>
    <row r="698" spans="1:4" x14ac:dyDescent="0.25">
      <c r="A698" t="s">
        <v>46</v>
      </c>
      <c r="B698" t="s">
        <v>355</v>
      </c>
      <c r="C698" t="s">
        <v>880</v>
      </c>
      <c r="D698" s="2">
        <v>700000</v>
      </c>
    </row>
    <row r="699" spans="1:4" x14ac:dyDescent="0.25">
      <c r="A699" t="s">
        <v>46</v>
      </c>
      <c r="B699" t="s">
        <v>356</v>
      </c>
      <c r="C699" t="s">
        <v>880</v>
      </c>
      <c r="D699" s="2">
        <v>700000</v>
      </c>
    </row>
    <row r="700" spans="1:4" x14ac:dyDescent="0.25">
      <c r="A700" t="s">
        <v>46</v>
      </c>
      <c r="B700" t="s">
        <v>357</v>
      </c>
      <c r="C700" t="s">
        <v>880</v>
      </c>
      <c r="D700" s="2">
        <v>700000</v>
      </c>
    </row>
    <row r="701" spans="1:4" x14ac:dyDescent="0.25">
      <c r="A701" t="s">
        <v>40</v>
      </c>
      <c r="B701" t="s">
        <v>358</v>
      </c>
      <c r="C701" t="s">
        <v>880</v>
      </c>
      <c r="D701" s="2">
        <v>700000</v>
      </c>
    </row>
    <row r="702" spans="1:4" x14ac:dyDescent="0.25">
      <c r="A702" t="s">
        <v>40</v>
      </c>
      <c r="B702" t="s">
        <v>359</v>
      </c>
      <c r="C702" t="s">
        <v>880</v>
      </c>
      <c r="D702" s="2">
        <v>700000</v>
      </c>
    </row>
    <row r="703" spans="1:4" x14ac:dyDescent="0.25">
      <c r="A703" t="s">
        <v>40</v>
      </c>
      <c r="B703" t="s">
        <v>360</v>
      </c>
      <c r="C703" t="s">
        <v>880</v>
      </c>
      <c r="D703" s="2">
        <v>700000</v>
      </c>
    </row>
    <row r="704" spans="1:4" x14ac:dyDescent="0.25">
      <c r="A704" t="s">
        <v>40</v>
      </c>
      <c r="B704" t="s">
        <v>361</v>
      </c>
      <c r="C704" t="s">
        <v>880</v>
      </c>
      <c r="D704" s="2">
        <v>700000</v>
      </c>
    </row>
    <row r="705" spans="1:4" x14ac:dyDescent="0.25">
      <c r="A705" t="s">
        <v>40</v>
      </c>
      <c r="B705" t="s">
        <v>362</v>
      </c>
      <c r="C705" t="s">
        <v>880</v>
      </c>
      <c r="D705" s="2">
        <v>700000</v>
      </c>
    </row>
    <row r="706" spans="1:4" x14ac:dyDescent="0.25">
      <c r="A706" t="s">
        <v>47</v>
      </c>
      <c r="B706" t="s">
        <v>363</v>
      </c>
      <c r="C706" t="s">
        <v>880</v>
      </c>
      <c r="D706" s="2">
        <v>700000</v>
      </c>
    </row>
    <row r="707" spans="1:4" x14ac:dyDescent="0.25">
      <c r="A707" t="s">
        <v>47</v>
      </c>
      <c r="B707" t="s">
        <v>364</v>
      </c>
      <c r="C707" t="s">
        <v>880</v>
      </c>
      <c r="D707" s="2">
        <v>700000</v>
      </c>
    </row>
    <row r="708" spans="1:4" x14ac:dyDescent="0.25">
      <c r="A708" t="s">
        <v>47</v>
      </c>
      <c r="B708" t="s">
        <v>365</v>
      </c>
      <c r="C708" t="s">
        <v>880</v>
      </c>
      <c r="D708" s="2">
        <v>700000</v>
      </c>
    </row>
    <row r="709" spans="1:4" x14ac:dyDescent="0.25">
      <c r="A709" t="s">
        <v>48</v>
      </c>
      <c r="B709" t="s">
        <v>366</v>
      </c>
      <c r="C709" t="s">
        <v>880</v>
      </c>
      <c r="D709" s="2">
        <v>700000</v>
      </c>
    </row>
    <row r="710" spans="1:4" x14ac:dyDescent="0.25">
      <c r="A710" t="s">
        <v>49</v>
      </c>
      <c r="B710" t="s">
        <v>322</v>
      </c>
      <c r="C710" t="s">
        <v>880</v>
      </c>
      <c r="D710" s="2">
        <v>700000</v>
      </c>
    </row>
    <row r="711" spans="1:4" x14ac:dyDescent="0.25">
      <c r="A711" t="s">
        <v>49</v>
      </c>
      <c r="B711" t="s">
        <v>367</v>
      </c>
      <c r="C711" t="s">
        <v>880</v>
      </c>
      <c r="D711" s="2">
        <v>700000</v>
      </c>
    </row>
    <row r="712" spans="1:4" x14ac:dyDescent="0.25">
      <c r="A712" t="s">
        <v>49</v>
      </c>
      <c r="B712" t="s">
        <v>368</v>
      </c>
      <c r="C712" t="s">
        <v>880</v>
      </c>
      <c r="D712" s="2">
        <v>700000</v>
      </c>
    </row>
    <row r="713" spans="1:4" x14ac:dyDescent="0.25">
      <c r="A713" t="s">
        <v>49</v>
      </c>
      <c r="B713" t="s">
        <v>369</v>
      </c>
      <c r="C713" t="s">
        <v>880</v>
      </c>
      <c r="D713" s="2">
        <v>700000</v>
      </c>
    </row>
    <row r="714" spans="1:4" x14ac:dyDescent="0.25">
      <c r="A714" t="s">
        <v>49</v>
      </c>
      <c r="B714" t="s">
        <v>370</v>
      </c>
      <c r="C714" t="s">
        <v>880</v>
      </c>
      <c r="D714" s="2">
        <v>700000</v>
      </c>
    </row>
    <row r="715" spans="1:4" x14ac:dyDescent="0.25">
      <c r="A715" t="s">
        <v>49</v>
      </c>
      <c r="B715" t="s">
        <v>371</v>
      </c>
      <c r="C715" t="s">
        <v>880</v>
      </c>
      <c r="D715" s="2">
        <v>700000</v>
      </c>
    </row>
    <row r="716" spans="1:4" x14ac:dyDescent="0.25">
      <c r="A716" t="s">
        <v>372</v>
      </c>
      <c r="B716" t="s">
        <v>373</v>
      </c>
      <c r="C716" t="s">
        <v>880</v>
      </c>
      <c r="D716" s="2">
        <v>700000</v>
      </c>
    </row>
    <row r="717" spans="1:4" x14ac:dyDescent="0.25">
      <c r="A717" t="s">
        <v>372</v>
      </c>
      <c r="B717" t="s">
        <v>374</v>
      </c>
      <c r="C717" t="s">
        <v>880</v>
      </c>
      <c r="D717" s="2">
        <v>700000</v>
      </c>
    </row>
    <row r="718" spans="1:4" x14ac:dyDescent="0.25">
      <c r="A718" t="s">
        <v>51</v>
      </c>
      <c r="B718" t="s">
        <v>375</v>
      </c>
      <c r="C718" t="s">
        <v>880</v>
      </c>
      <c r="D718" s="2">
        <v>700000</v>
      </c>
    </row>
    <row r="719" spans="1:4" x14ac:dyDescent="0.25">
      <c r="A719" t="s">
        <v>51</v>
      </c>
      <c r="B719" t="s">
        <v>376</v>
      </c>
      <c r="C719" t="s">
        <v>880</v>
      </c>
      <c r="D719" s="2">
        <v>700000</v>
      </c>
    </row>
    <row r="720" spans="1:4" x14ac:dyDescent="0.25">
      <c r="A720" t="s">
        <v>51</v>
      </c>
      <c r="B720" t="s">
        <v>377</v>
      </c>
      <c r="C720" t="s">
        <v>880</v>
      </c>
      <c r="D720" s="2">
        <v>700000</v>
      </c>
    </row>
    <row r="721" spans="1:4" x14ac:dyDescent="0.25">
      <c r="A721" t="s">
        <v>51</v>
      </c>
      <c r="B721" t="s">
        <v>378</v>
      </c>
      <c r="C721" t="s">
        <v>880</v>
      </c>
      <c r="D721" s="2">
        <v>700000</v>
      </c>
    </row>
    <row r="722" spans="1:4" x14ac:dyDescent="0.25">
      <c r="A722" t="s">
        <v>52</v>
      </c>
      <c r="B722" t="s">
        <v>89</v>
      </c>
      <c r="C722" t="s">
        <v>880</v>
      </c>
      <c r="D722" s="2">
        <v>700000</v>
      </c>
    </row>
    <row r="723" spans="1:4" x14ac:dyDescent="0.25">
      <c r="A723" t="s">
        <v>52</v>
      </c>
      <c r="B723" t="s">
        <v>379</v>
      </c>
      <c r="C723" t="s">
        <v>880</v>
      </c>
      <c r="D723" s="2">
        <v>700000</v>
      </c>
    </row>
    <row r="724" spans="1:4" x14ac:dyDescent="0.25">
      <c r="A724" t="s">
        <v>52</v>
      </c>
      <c r="B724" t="s">
        <v>380</v>
      </c>
      <c r="C724" t="s">
        <v>880</v>
      </c>
      <c r="D724" s="2">
        <v>700000</v>
      </c>
    </row>
    <row r="725" spans="1:4" x14ac:dyDescent="0.25">
      <c r="A725" t="s">
        <v>52</v>
      </c>
      <c r="B725" t="s">
        <v>381</v>
      </c>
      <c r="C725" t="s">
        <v>880</v>
      </c>
      <c r="D725" s="2">
        <v>700000</v>
      </c>
    </row>
    <row r="726" spans="1:4" x14ac:dyDescent="0.25">
      <c r="A726" t="s">
        <v>54</v>
      </c>
      <c r="B726" t="s">
        <v>382</v>
      </c>
      <c r="C726" t="s">
        <v>880</v>
      </c>
      <c r="D726" s="2">
        <v>700000</v>
      </c>
    </row>
    <row r="727" spans="1:4" x14ac:dyDescent="0.25">
      <c r="A727" t="s">
        <v>55</v>
      </c>
      <c r="B727" t="s">
        <v>383</v>
      </c>
      <c r="C727" t="s">
        <v>880</v>
      </c>
      <c r="D727" s="2">
        <v>700000</v>
      </c>
    </row>
    <row r="728" spans="1:4" x14ac:dyDescent="0.25">
      <c r="A728" t="s">
        <v>55</v>
      </c>
      <c r="B728" t="s">
        <v>384</v>
      </c>
      <c r="C728" t="s">
        <v>880</v>
      </c>
      <c r="D728" s="2">
        <v>700000</v>
      </c>
    </row>
    <row r="729" spans="1:4" x14ac:dyDescent="0.25">
      <c r="A729" t="s">
        <v>56</v>
      </c>
      <c r="B729" t="s">
        <v>385</v>
      </c>
      <c r="C729" t="s">
        <v>880</v>
      </c>
      <c r="D729" s="2">
        <v>700000</v>
      </c>
    </row>
    <row r="730" spans="1:4" x14ac:dyDescent="0.25">
      <c r="A730" t="s">
        <v>56</v>
      </c>
      <c r="B730" t="s">
        <v>315</v>
      </c>
      <c r="C730" t="s">
        <v>880</v>
      </c>
      <c r="D730" s="2">
        <v>700000</v>
      </c>
    </row>
    <row r="731" spans="1:4" x14ac:dyDescent="0.25">
      <c r="A731" t="s">
        <v>56</v>
      </c>
      <c r="B731" t="s">
        <v>386</v>
      </c>
      <c r="C731" t="s">
        <v>880</v>
      </c>
      <c r="D731" s="2">
        <v>700000</v>
      </c>
    </row>
    <row r="732" spans="1:4" x14ac:dyDescent="0.25">
      <c r="A732" t="s">
        <v>42</v>
      </c>
      <c r="B732" t="s">
        <v>387</v>
      </c>
      <c r="C732" t="s">
        <v>880</v>
      </c>
      <c r="D732" s="2">
        <v>700000</v>
      </c>
    </row>
    <row r="733" spans="1:4" x14ac:dyDescent="0.25">
      <c r="A733" t="s">
        <v>53</v>
      </c>
      <c r="B733" t="s">
        <v>388</v>
      </c>
      <c r="C733" t="s">
        <v>880</v>
      </c>
      <c r="D733" s="2">
        <v>700000</v>
      </c>
    </row>
    <row r="734" spans="1:4" x14ac:dyDescent="0.25">
      <c r="A734" t="s">
        <v>53</v>
      </c>
      <c r="B734" t="s">
        <v>389</v>
      </c>
      <c r="C734" t="s">
        <v>880</v>
      </c>
      <c r="D734" s="2">
        <v>700000</v>
      </c>
    </row>
    <row r="735" spans="1:4" x14ac:dyDescent="0.25">
      <c r="A735" t="s">
        <v>53</v>
      </c>
      <c r="B735" t="s">
        <v>390</v>
      </c>
      <c r="C735" t="s">
        <v>880</v>
      </c>
      <c r="D735" s="2">
        <v>700000</v>
      </c>
    </row>
    <row r="736" spans="1:4" x14ac:dyDescent="0.25">
      <c r="A736" t="s">
        <v>53</v>
      </c>
      <c r="B736" t="s">
        <v>391</v>
      </c>
      <c r="C736" t="s">
        <v>880</v>
      </c>
      <c r="D736" s="2">
        <v>700000</v>
      </c>
    </row>
    <row r="737" spans="1:4" x14ac:dyDescent="0.25">
      <c r="A737" t="s">
        <v>53</v>
      </c>
      <c r="B737" t="s">
        <v>392</v>
      </c>
      <c r="C737" t="s">
        <v>880</v>
      </c>
      <c r="D737" s="2">
        <v>700000</v>
      </c>
    </row>
    <row r="738" spans="1:4" x14ac:dyDescent="0.25">
      <c r="A738" t="s">
        <v>53</v>
      </c>
      <c r="B738" t="s">
        <v>393</v>
      </c>
      <c r="C738" t="s">
        <v>880</v>
      </c>
      <c r="D738" s="2">
        <v>700000</v>
      </c>
    </row>
    <row r="739" spans="1:4" x14ac:dyDescent="0.25">
      <c r="A739" t="s">
        <v>57</v>
      </c>
      <c r="B739" t="s">
        <v>394</v>
      </c>
      <c r="C739" t="s">
        <v>880</v>
      </c>
      <c r="D739" s="2">
        <v>700000</v>
      </c>
    </row>
    <row r="740" spans="1:4" x14ac:dyDescent="0.25">
      <c r="A740" t="s">
        <v>57</v>
      </c>
      <c r="B740" t="s">
        <v>395</v>
      </c>
      <c r="C740" t="s">
        <v>880</v>
      </c>
      <c r="D740" s="2">
        <v>700000</v>
      </c>
    </row>
    <row r="741" spans="1:4" x14ac:dyDescent="0.25">
      <c r="A741" t="s">
        <v>58</v>
      </c>
      <c r="B741" t="s">
        <v>396</v>
      </c>
      <c r="C741" t="s">
        <v>880</v>
      </c>
      <c r="D741" s="2">
        <v>700000</v>
      </c>
    </row>
    <row r="742" spans="1:4" x14ac:dyDescent="0.25">
      <c r="A742" t="s">
        <v>58</v>
      </c>
      <c r="B742" t="s">
        <v>397</v>
      </c>
      <c r="C742" t="s">
        <v>880</v>
      </c>
      <c r="D742" s="2">
        <v>700000</v>
      </c>
    </row>
    <row r="743" spans="1:4" x14ac:dyDescent="0.25">
      <c r="A743" t="s">
        <v>58</v>
      </c>
      <c r="B743" t="s">
        <v>398</v>
      </c>
      <c r="C743" t="s">
        <v>880</v>
      </c>
      <c r="D743" s="2">
        <v>700000</v>
      </c>
    </row>
    <row r="744" spans="1:4" x14ac:dyDescent="0.25">
      <c r="A744" t="s">
        <v>58</v>
      </c>
      <c r="B744" t="s">
        <v>399</v>
      </c>
      <c r="C744" t="s">
        <v>880</v>
      </c>
      <c r="D744" s="2">
        <v>700000</v>
      </c>
    </row>
    <row r="745" spans="1:4" x14ac:dyDescent="0.25">
      <c r="A745" t="s">
        <v>58</v>
      </c>
      <c r="B745" t="s">
        <v>64</v>
      </c>
      <c r="C745" t="s">
        <v>880</v>
      </c>
      <c r="D745" s="2">
        <v>700000</v>
      </c>
    </row>
    <row r="746" spans="1:4" x14ac:dyDescent="0.25">
      <c r="A746" t="s">
        <v>59</v>
      </c>
      <c r="B746" t="s">
        <v>400</v>
      </c>
      <c r="C746" t="s">
        <v>880</v>
      </c>
      <c r="D746" s="2">
        <v>700000</v>
      </c>
    </row>
    <row r="747" spans="1:4" x14ac:dyDescent="0.25">
      <c r="A747" t="s">
        <v>25</v>
      </c>
      <c r="B747" t="s">
        <v>401</v>
      </c>
      <c r="C747" t="s">
        <v>880</v>
      </c>
      <c r="D747" s="2">
        <v>700000</v>
      </c>
    </row>
    <row r="748" spans="1:4" x14ac:dyDescent="0.25">
      <c r="A748" t="s">
        <v>25</v>
      </c>
      <c r="B748" t="s">
        <v>402</v>
      </c>
      <c r="C748" t="s">
        <v>880</v>
      </c>
      <c r="D748" s="2">
        <v>700000</v>
      </c>
    </row>
    <row r="749" spans="1:4" x14ac:dyDescent="0.25">
      <c r="A749" t="s">
        <v>25</v>
      </c>
      <c r="B749" t="s">
        <v>278</v>
      </c>
      <c r="C749" t="s">
        <v>880</v>
      </c>
      <c r="D749" s="2">
        <v>700000</v>
      </c>
    </row>
    <row r="750" spans="1:4" x14ac:dyDescent="0.25">
      <c r="A750" t="s">
        <v>25</v>
      </c>
      <c r="B750" t="s">
        <v>403</v>
      </c>
      <c r="C750" t="s">
        <v>880</v>
      </c>
      <c r="D750" s="2">
        <v>700000</v>
      </c>
    </row>
    <row r="751" spans="1:4" x14ac:dyDescent="0.25">
      <c r="A751" t="s">
        <v>25</v>
      </c>
      <c r="B751" t="s">
        <v>404</v>
      </c>
      <c r="C751" t="s">
        <v>880</v>
      </c>
      <c r="D751" s="2">
        <v>700000</v>
      </c>
    </row>
    <row r="752" spans="1:4" x14ac:dyDescent="0.25">
      <c r="A752" t="s">
        <v>25</v>
      </c>
      <c r="B752" t="s">
        <v>405</v>
      </c>
      <c r="C752" t="s">
        <v>880</v>
      </c>
      <c r="D752" s="2">
        <v>700000</v>
      </c>
    </row>
    <row r="753" spans="1:4" x14ac:dyDescent="0.25">
      <c r="A753" t="s">
        <v>25</v>
      </c>
      <c r="B753" t="s">
        <v>406</v>
      </c>
      <c r="C753" t="s">
        <v>880</v>
      </c>
      <c r="D753" s="2">
        <v>700000</v>
      </c>
    </row>
    <row r="754" spans="1:4" x14ac:dyDescent="0.25">
      <c r="A754" t="s">
        <v>44</v>
      </c>
      <c r="B754" t="s">
        <v>407</v>
      </c>
      <c r="C754" t="s">
        <v>880</v>
      </c>
      <c r="D754" s="2">
        <v>700000</v>
      </c>
    </row>
    <row r="755" spans="1:4" x14ac:dyDescent="0.25">
      <c r="A755" t="s">
        <v>43</v>
      </c>
      <c r="B755" t="s">
        <v>408</v>
      </c>
      <c r="C755" t="s">
        <v>880</v>
      </c>
      <c r="D755" s="2">
        <v>700000</v>
      </c>
    </row>
    <row r="756" spans="1:4" x14ac:dyDescent="0.25">
      <c r="A756" t="s">
        <v>43</v>
      </c>
      <c r="B756" t="s">
        <v>343</v>
      </c>
      <c r="C756" t="s">
        <v>880</v>
      </c>
      <c r="D756" s="2">
        <v>700000</v>
      </c>
    </row>
    <row r="757" spans="1:4" x14ac:dyDescent="0.25">
      <c r="A757" t="s">
        <v>43</v>
      </c>
      <c r="B757" t="s">
        <v>409</v>
      </c>
      <c r="C757" t="s">
        <v>880</v>
      </c>
      <c r="D757" s="2">
        <v>700000</v>
      </c>
    </row>
    <row r="758" spans="1:4" x14ac:dyDescent="0.25">
      <c r="A758" t="s">
        <v>60</v>
      </c>
      <c r="B758" t="s">
        <v>410</v>
      </c>
      <c r="C758" t="s">
        <v>880</v>
      </c>
      <c r="D758" s="2">
        <v>700000</v>
      </c>
    </row>
    <row r="759" spans="1:4" x14ac:dyDescent="0.25">
      <c r="A759" t="s">
        <v>41</v>
      </c>
      <c r="B759" t="s">
        <v>411</v>
      </c>
      <c r="C759" t="s">
        <v>880</v>
      </c>
      <c r="D759" s="2">
        <v>700000</v>
      </c>
    </row>
    <row r="760" spans="1:4" x14ac:dyDescent="0.25">
      <c r="A760" t="s">
        <v>41</v>
      </c>
      <c r="B760" t="s">
        <v>412</v>
      </c>
      <c r="C760" t="s">
        <v>880</v>
      </c>
      <c r="D760" s="2">
        <v>700000</v>
      </c>
    </row>
    <row r="761" spans="1:4" x14ac:dyDescent="0.25">
      <c r="A761" t="s">
        <v>41</v>
      </c>
      <c r="B761" t="s">
        <v>262</v>
      </c>
      <c r="C761" t="s">
        <v>880</v>
      </c>
      <c r="D761" s="2">
        <v>700000</v>
      </c>
    </row>
    <row r="762" spans="1:4" x14ac:dyDescent="0.25">
      <c r="A762" t="s">
        <v>41</v>
      </c>
      <c r="B762" t="s">
        <v>413</v>
      </c>
      <c r="C762" t="s">
        <v>880</v>
      </c>
      <c r="D762" s="2">
        <v>700000</v>
      </c>
    </row>
    <row r="763" spans="1:4" x14ac:dyDescent="0.25">
      <c r="A763" t="s">
        <v>41</v>
      </c>
      <c r="B763" t="s">
        <v>414</v>
      </c>
      <c r="C763" t="s">
        <v>880</v>
      </c>
      <c r="D763" s="2">
        <v>700000</v>
      </c>
    </row>
    <row r="764" spans="1:4" x14ac:dyDescent="0.25">
      <c r="A764" t="s">
        <v>61</v>
      </c>
      <c r="B764" t="s">
        <v>415</v>
      </c>
      <c r="C764" t="s">
        <v>880</v>
      </c>
      <c r="D764" s="2">
        <v>700000</v>
      </c>
    </row>
    <row r="765" spans="1:4" x14ac:dyDescent="0.25">
      <c r="A765" t="s">
        <v>61</v>
      </c>
      <c r="B765" t="s">
        <v>416</v>
      </c>
      <c r="C765" t="s">
        <v>880</v>
      </c>
      <c r="D765" s="2">
        <v>700000</v>
      </c>
    </row>
    <row r="766" spans="1:4" x14ac:dyDescent="0.25">
      <c r="A766" t="s">
        <v>417</v>
      </c>
      <c r="B766" t="s">
        <v>418</v>
      </c>
      <c r="C766" t="s">
        <v>880</v>
      </c>
      <c r="D766" s="2">
        <v>700000</v>
      </c>
    </row>
    <row r="767" spans="1:4" x14ac:dyDescent="0.25">
      <c r="A767" t="s">
        <v>417</v>
      </c>
      <c r="B767" t="s">
        <v>419</v>
      </c>
      <c r="C767" t="s">
        <v>880</v>
      </c>
      <c r="D767" s="2">
        <v>700000</v>
      </c>
    </row>
    <row r="768" spans="1:4" x14ac:dyDescent="0.25">
      <c r="A768" t="s">
        <v>29</v>
      </c>
      <c r="B768" t="s">
        <v>331</v>
      </c>
      <c r="C768" t="s">
        <v>880</v>
      </c>
      <c r="D768" s="2">
        <v>700000</v>
      </c>
    </row>
    <row r="769" spans="1:4" x14ac:dyDescent="0.25">
      <c r="A769" t="s">
        <v>29</v>
      </c>
      <c r="B769" t="s">
        <v>420</v>
      </c>
      <c r="C769" t="s">
        <v>880</v>
      </c>
      <c r="D769" s="2">
        <v>700000</v>
      </c>
    </row>
    <row r="770" spans="1:4" x14ac:dyDescent="0.25">
      <c r="A770" t="s">
        <v>31</v>
      </c>
      <c r="B770" t="s">
        <v>421</v>
      </c>
      <c r="C770" t="s">
        <v>880</v>
      </c>
      <c r="D770" s="2">
        <v>700000</v>
      </c>
    </row>
    <row r="771" spans="1:4" x14ac:dyDescent="0.25">
      <c r="A771" t="s">
        <v>31</v>
      </c>
      <c r="B771" t="s">
        <v>422</v>
      </c>
      <c r="C771" t="s">
        <v>880</v>
      </c>
      <c r="D771" s="2">
        <v>700000</v>
      </c>
    </row>
    <row r="772" spans="1:4" x14ac:dyDescent="0.25">
      <c r="A772" t="s">
        <v>34</v>
      </c>
      <c r="B772" t="s">
        <v>423</v>
      </c>
      <c r="C772" t="s">
        <v>880</v>
      </c>
      <c r="D772" s="2">
        <v>700000</v>
      </c>
    </row>
    <row r="773" spans="1:4" x14ac:dyDescent="0.25">
      <c r="A773" t="s">
        <v>35</v>
      </c>
      <c r="B773" t="s">
        <v>424</v>
      </c>
      <c r="C773" t="s">
        <v>880</v>
      </c>
      <c r="D773" s="2">
        <v>700000</v>
      </c>
    </row>
    <row r="774" spans="1:4" x14ac:dyDescent="0.25">
      <c r="A774" t="s">
        <v>35</v>
      </c>
      <c r="B774" t="s">
        <v>94</v>
      </c>
      <c r="C774" t="s">
        <v>880</v>
      </c>
      <c r="D774" s="2">
        <v>700000</v>
      </c>
    </row>
    <row r="775" spans="1:4" x14ac:dyDescent="0.25">
      <c r="A775" t="s">
        <v>35</v>
      </c>
      <c r="B775" t="s">
        <v>425</v>
      </c>
      <c r="C775" t="s">
        <v>880</v>
      </c>
      <c r="D775" s="2">
        <v>700000</v>
      </c>
    </row>
    <row r="776" spans="1:4" x14ac:dyDescent="0.25">
      <c r="A776" t="s">
        <v>35</v>
      </c>
      <c r="B776" t="s">
        <v>426</v>
      </c>
      <c r="C776" t="s">
        <v>880</v>
      </c>
      <c r="D776" s="2">
        <v>700000</v>
      </c>
    </row>
    <row r="777" spans="1:4" x14ac:dyDescent="0.25">
      <c r="A777" t="s">
        <v>45</v>
      </c>
      <c r="B777" t="s">
        <v>428</v>
      </c>
      <c r="C777" t="s">
        <v>883</v>
      </c>
      <c r="D777" s="2">
        <v>700000</v>
      </c>
    </row>
    <row r="778" spans="1:4" x14ac:dyDescent="0.25">
      <c r="A778" t="s">
        <v>47</v>
      </c>
      <c r="B778" t="s">
        <v>450</v>
      </c>
      <c r="C778" t="s">
        <v>883</v>
      </c>
      <c r="D778" s="2">
        <v>700000</v>
      </c>
    </row>
    <row r="779" spans="1:4" x14ac:dyDescent="0.25">
      <c r="A779" t="s">
        <v>49</v>
      </c>
      <c r="B779" t="s">
        <v>460</v>
      </c>
      <c r="C779" t="s">
        <v>883</v>
      </c>
      <c r="D779" s="2">
        <v>700000</v>
      </c>
    </row>
    <row r="780" spans="1:4" x14ac:dyDescent="0.25">
      <c r="A780" t="s">
        <v>45</v>
      </c>
      <c r="B780" t="s">
        <v>432</v>
      </c>
      <c r="C780" t="s">
        <v>878</v>
      </c>
      <c r="D780" s="2">
        <v>700000</v>
      </c>
    </row>
    <row r="781" spans="1:4" x14ac:dyDescent="0.25">
      <c r="A781" t="s">
        <v>45</v>
      </c>
      <c r="B781" t="s">
        <v>434</v>
      </c>
      <c r="C781" t="s">
        <v>878</v>
      </c>
      <c r="D781" s="2">
        <v>700000</v>
      </c>
    </row>
    <row r="782" spans="1:4" x14ac:dyDescent="0.25">
      <c r="A782" t="s">
        <v>50</v>
      </c>
      <c r="B782" t="s">
        <v>437</v>
      </c>
      <c r="C782" t="s">
        <v>878</v>
      </c>
      <c r="D782" s="2">
        <v>700000</v>
      </c>
    </row>
    <row r="783" spans="1:4" x14ac:dyDescent="0.25">
      <c r="A783" t="s">
        <v>46</v>
      </c>
      <c r="B783" t="s">
        <v>438</v>
      </c>
      <c r="C783" t="s">
        <v>878</v>
      </c>
      <c r="D783" s="2">
        <v>700000</v>
      </c>
    </row>
    <row r="784" spans="1:4" x14ac:dyDescent="0.25">
      <c r="A784" t="s">
        <v>46</v>
      </c>
      <c r="B784" t="s">
        <v>439</v>
      </c>
      <c r="C784" t="s">
        <v>878</v>
      </c>
      <c r="D784" s="2">
        <v>700000</v>
      </c>
    </row>
    <row r="785" spans="1:4" x14ac:dyDescent="0.25">
      <c r="A785" t="s">
        <v>40</v>
      </c>
      <c r="B785" t="s">
        <v>445</v>
      </c>
      <c r="C785" t="s">
        <v>878</v>
      </c>
      <c r="D785" s="2">
        <v>700000</v>
      </c>
    </row>
    <row r="786" spans="1:4" x14ac:dyDescent="0.25">
      <c r="A786" t="s">
        <v>47</v>
      </c>
      <c r="B786" t="s">
        <v>448</v>
      </c>
      <c r="C786" t="s">
        <v>878</v>
      </c>
      <c r="D786" s="2">
        <v>700000</v>
      </c>
    </row>
    <row r="787" spans="1:4" x14ac:dyDescent="0.25">
      <c r="A787" t="s">
        <v>47</v>
      </c>
      <c r="B787" t="s">
        <v>453</v>
      </c>
      <c r="C787" t="s">
        <v>878</v>
      </c>
      <c r="D787" s="2">
        <v>700000</v>
      </c>
    </row>
    <row r="788" spans="1:4" x14ac:dyDescent="0.25">
      <c r="A788" t="s">
        <v>47</v>
      </c>
      <c r="B788" t="s">
        <v>455</v>
      </c>
      <c r="C788" t="s">
        <v>878</v>
      </c>
      <c r="D788" s="2">
        <v>700000</v>
      </c>
    </row>
    <row r="789" spans="1:4" x14ac:dyDescent="0.25">
      <c r="A789" t="s">
        <v>48</v>
      </c>
      <c r="B789" t="s">
        <v>457</v>
      </c>
      <c r="C789" t="s">
        <v>878</v>
      </c>
      <c r="D789" s="2">
        <v>700000</v>
      </c>
    </row>
    <row r="790" spans="1:4" x14ac:dyDescent="0.25">
      <c r="A790" t="s">
        <v>49</v>
      </c>
      <c r="B790" t="s">
        <v>80</v>
      </c>
      <c r="C790" t="s">
        <v>878</v>
      </c>
      <c r="D790" s="2">
        <v>700000</v>
      </c>
    </row>
    <row r="791" spans="1:4" x14ac:dyDescent="0.25">
      <c r="A791" t="s">
        <v>49</v>
      </c>
      <c r="B791" t="s">
        <v>461</v>
      </c>
      <c r="C791" t="s">
        <v>878</v>
      </c>
      <c r="D791" s="2">
        <v>700000</v>
      </c>
    </row>
    <row r="792" spans="1:4" x14ac:dyDescent="0.25">
      <c r="A792" t="s">
        <v>49</v>
      </c>
      <c r="B792" t="s">
        <v>462</v>
      </c>
      <c r="C792" t="s">
        <v>878</v>
      </c>
      <c r="D792" s="2">
        <v>700000</v>
      </c>
    </row>
    <row r="793" spans="1:4" x14ac:dyDescent="0.25">
      <c r="A793" t="s">
        <v>49</v>
      </c>
      <c r="B793" t="s">
        <v>463</v>
      </c>
      <c r="C793" t="s">
        <v>878</v>
      </c>
      <c r="D793" s="2">
        <v>700000</v>
      </c>
    </row>
    <row r="794" spans="1:4" x14ac:dyDescent="0.25">
      <c r="A794" t="s">
        <v>372</v>
      </c>
      <c r="B794" t="s">
        <v>470</v>
      </c>
      <c r="C794" t="s">
        <v>878</v>
      </c>
      <c r="D794" s="2">
        <v>700000</v>
      </c>
    </row>
    <row r="795" spans="1:4" x14ac:dyDescent="0.25">
      <c r="A795" t="s">
        <v>51</v>
      </c>
      <c r="B795" t="s">
        <v>477</v>
      </c>
      <c r="C795" t="s">
        <v>878</v>
      </c>
      <c r="D795" s="2">
        <v>700000</v>
      </c>
    </row>
    <row r="796" spans="1:4" x14ac:dyDescent="0.25">
      <c r="A796" t="s">
        <v>51</v>
      </c>
      <c r="B796" t="s">
        <v>212</v>
      </c>
      <c r="C796" t="s">
        <v>878</v>
      </c>
      <c r="D796" s="2">
        <v>700000</v>
      </c>
    </row>
    <row r="797" spans="1:4" x14ac:dyDescent="0.25">
      <c r="A797" t="s">
        <v>52</v>
      </c>
      <c r="B797" t="s">
        <v>486</v>
      </c>
      <c r="C797" t="s">
        <v>878</v>
      </c>
      <c r="D797" s="2">
        <v>700000</v>
      </c>
    </row>
    <row r="798" spans="1:4" x14ac:dyDescent="0.25">
      <c r="A798" t="s">
        <v>55</v>
      </c>
      <c r="B798" t="s">
        <v>493</v>
      </c>
      <c r="C798" t="s">
        <v>878</v>
      </c>
      <c r="D798" s="2">
        <v>700000</v>
      </c>
    </row>
    <row r="799" spans="1:4" x14ac:dyDescent="0.25">
      <c r="A799" t="s">
        <v>56</v>
      </c>
      <c r="B799" t="s">
        <v>504</v>
      </c>
      <c r="C799" t="s">
        <v>878</v>
      </c>
      <c r="D799" s="2">
        <v>700000</v>
      </c>
    </row>
    <row r="800" spans="1:4" x14ac:dyDescent="0.25">
      <c r="A800" t="s">
        <v>53</v>
      </c>
      <c r="B800" t="s">
        <v>508</v>
      </c>
      <c r="C800" t="s">
        <v>878</v>
      </c>
      <c r="D800" s="2">
        <v>700000</v>
      </c>
    </row>
    <row r="801" spans="1:4" x14ac:dyDescent="0.25">
      <c r="A801" t="s">
        <v>58</v>
      </c>
      <c r="B801" t="s">
        <v>516</v>
      </c>
      <c r="C801" t="s">
        <v>878</v>
      </c>
      <c r="D801" s="2">
        <v>700000</v>
      </c>
    </row>
    <row r="802" spans="1:4" x14ac:dyDescent="0.25">
      <c r="A802" t="s">
        <v>25</v>
      </c>
      <c r="B802" t="s">
        <v>524</v>
      </c>
      <c r="C802" t="s">
        <v>878</v>
      </c>
      <c r="D802" s="2">
        <v>700000</v>
      </c>
    </row>
    <row r="803" spans="1:4" x14ac:dyDescent="0.25">
      <c r="A803" t="s">
        <v>25</v>
      </c>
      <c r="B803" t="s">
        <v>528</v>
      </c>
      <c r="C803" t="s">
        <v>878</v>
      </c>
      <c r="D803" s="2">
        <v>700000</v>
      </c>
    </row>
    <row r="804" spans="1:4" x14ac:dyDescent="0.25">
      <c r="A804" t="s">
        <v>25</v>
      </c>
      <c r="B804" t="s">
        <v>529</v>
      </c>
      <c r="C804" t="s">
        <v>878</v>
      </c>
      <c r="D804" s="2">
        <v>700000</v>
      </c>
    </row>
    <row r="805" spans="1:4" x14ac:dyDescent="0.25">
      <c r="A805" t="s">
        <v>25</v>
      </c>
      <c r="B805" t="s">
        <v>531</v>
      </c>
      <c r="C805" t="s">
        <v>878</v>
      </c>
      <c r="D805" s="2">
        <v>700000</v>
      </c>
    </row>
    <row r="806" spans="1:4" x14ac:dyDescent="0.25">
      <c r="A806" t="s">
        <v>43</v>
      </c>
      <c r="B806" t="s">
        <v>547</v>
      </c>
      <c r="C806" t="s">
        <v>878</v>
      </c>
      <c r="D806" s="2">
        <v>700000</v>
      </c>
    </row>
    <row r="807" spans="1:4" x14ac:dyDescent="0.25">
      <c r="A807" t="s">
        <v>41</v>
      </c>
      <c r="B807" t="s">
        <v>284</v>
      </c>
      <c r="C807" t="s">
        <v>878</v>
      </c>
      <c r="D807" s="2">
        <v>700000</v>
      </c>
    </row>
    <row r="808" spans="1:4" x14ac:dyDescent="0.25">
      <c r="A808" t="s">
        <v>41</v>
      </c>
      <c r="B808" t="s">
        <v>149</v>
      </c>
      <c r="C808" t="s">
        <v>878</v>
      </c>
      <c r="D808" s="2">
        <v>700000</v>
      </c>
    </row>
    <row r="809" spans="1:4" x14ac:dyDescent="0.25">
      <c r="A809" t="s">
        <v>41</v>
      </c>
      <c r="B809" t="s">
        <v>556</v>
      </c>
      <c r="C809" t="s">
        <v>878</v>
      </c>
      <c r="D809" s="2">
        <v>700000</v>
      </c>
    </row>
    <row r="810" spans="1:4" x14ac:dyDescent="0.25">
      <c r="A810" t="s">
        <v>61</v>
      </c>
      <c r="B810" t="s">
        <v>560</v>
      </c>
      <c r="C810" t="s">
        <v>878</v>
      </c>
      <c r="D810" s="2">
        <v>700000</v>
      </c>
    </row>
    <row r="811" spans="1:4" x14ac:dyDescent="0.25">
      <c r="A811" t="s">
        <v>417</v>
      </c>
      <c r="B811" t="s">
        <v>566</v>
      </c>
      <c r="C811" t="s">
        <v>878</v>
      </c>
      <c r="D811" s="2">
        <v>700000</v>
      </c>
    </row>
    <row r="812" spans="1:4" x14ac:dyDescent="0.25">
      <c r="A812" t="s">
        <v>31</v>
      </c>
      <c r="B812" t="s">
        <v>571</v>
      </c>
      <c r="C812" t="s">
        <v>878</v>
      </c>
      <c r="D812" s="2">
        <v>700000</v>
      </c>
    </row>
    <row r="813" spans="1:4" x14ac:dyDescent="0.25">
      <c r="A813" t="s">
        <v>31</v>
      </c>
      <c r="B813" t="s">
        <v>578</v>
      </c>
      <c r="C813" t="s">
        <v>878</v>
      </c>
      <c r="D813" s="2">
        <v>700000</v>
      </c>
    </row>
    <row r="814" spans="1:4" x14ac:dyDescent="0.25">
      <c r="A814" t="s">
        <v>35</v>
      </c>
      <c r="B814" t="s">
        <v>582</v>
      </c>
      <c r="C814" t="s">
        <v>878</v>
      </c>
      <c r="D814" s="2">
        <v>700000</v>
      </c>
    </row>
    <row r="815" spans="1:4" x14ac:dyDescent="0.25">
      <c r="A815" t="s">
        <v>50</v>
      </c>
      <c r="B815" t="s">
        <v>436</v>
      </c>
      <c r="C815" t="s">
        <v>2</v>
      </c>
      <c r="D815" s="2">
        <v>700000</v>
      </c>
    </row>
    <row r="816" spans="1:4" x14ac:dyDescent="0.25">
      <c r="A816" t="s">
        <v>46</v>
      </c>
      <c r="B816" t="s">
        <v>442</v>
      </c>
      <c r="C816" t="s">
        <v>2</v>
      </c>
      <c r="D816" s="2">
        <v>700000</v>
      </c>
    </row>
    <row r="817" spans="1:4" x14ac:dyDescent="0.25">
      <c r="A817" t="s">
        <v>46</v>
      </c>
      <c r="B817" t="s">
        <v>444</v>
      </c>
      <c r="C817" t="s">
        <v>2</v>
      </c>
      <c r="D817" s="2">
        <v>700000</v>
      </c>
    </row>
    <row r="818" spans="1:4" x14ac:dyDescent="0.25">
      <c r="A818" t="s">
        <v>47</v>
      </c>
      <c r="B818" t="s">
        <v>454</v>
      </c>
      <c r="C818" t="s">
        <v>2</v>
      </c>
      <c r="D818" s="2">
        <v>700000</v>
      </c>
    </row>
    <row r="819" spans="1:4" x14ac:dyDescent="0.25">
      <c r="A819" t="s">
        <v>48</v>
      </c>
      <c r="B819" t="s">
        <v>33</v>
      </c>
      <c r="C819" t="s">
        <v>2</v>
      </c>
      <c r="D819" s="2">
        <v>700000</v>
      </c>
    </row>
    <row r="820" spans="1:4" x14ac:dyDescent="0.25">
      <c r="A820" t="s">
        <v>49</v>
      </c>
      <c r="B820" t="s">
        <v>467</v>
      </c>
      <c r="C820" t="s">
        <v>2</v>
      </c>
      <c r="D820" s="2">
        <v>700000</v>
      </c>
    </row>
    <row r="821" spans="1:4" x14ac:dyDescent="0.25">
      <c r="A821" t="s">
        <v>372</v>
      </c>
      <c r="B821" t="s">
        <v>473</v>
      </c>
      <c r="C821" t="s">
        <v>2</v>
      </c>
      <c r="D821" s="2">
        <v>700000</v>
      </c>
    </row>
    <row r="822" spans="1:4" x14ac:dyDescent="0.25">
      <c r="A822" t="s">
        <v>51</v>
      </c>
      <c r="B822" t="s">
        <v>482</v>
      </c>
      <c r="C822" t="s">
        <v>2</v>
      </c>
      <c r="D822" s="2">
        <v>700000</v>
      </c>
    </row>
    <row r="823" spans="1:4" x14ac:dyDescent="0.25">
      <c r="A823" t="s">
        <v>52</v>
      </c>
      <c r="B823" t="s">
        <v>487</v>
      </c>
      <c r="C823" t="s">
        <v>2</v>
      </c>
      <c r="D823" s="2">
        <v>700000</v>
      </c>
    </row>
    <row r="824" spans="1:4" x14ac:dyDescent="0.25">
      <c r="A824" t="s">
        <v>52</v>
      </c>
      <c r="B824" t="s">
        <v>488</v>
      </c>
      <c r="C824" t="s">
        <v>2</v>
      </c>
      <c r="D824" s="2">
        <v>700000</v>
      </c>
    </row>
    <row r="825" spans="1:4" x14ac:dyDescent="0.25">
      <c r="A825" t="s">
        <v>54</v>
      </c>
      <c r="B825" t="s">
        <v>489</v>
      </c>
      <c r="C825" t="s">
        <v>2</v>
      </c>
      <c r="D825" s="2">
        <v>700000</v>
      </c>
    </row>
    <row r="826" spans="1:4" x14ac:dyDescent="0.25">
      <c r="A826" t="s">
        <v>54</v>
      </c>
      <c r="B826" t="s">
        <v>490</v>
      </c>
      <c r="C826" t="s">
        <v>2</v>
      </c>
      <c r="D826" s="2">
        <v>700000</v>
      </c>
    </row>
    <row r="827" spans="1:4" x14ac:dyDescent="0.25">
      <c r="A827" t="s">
        <v>55</v>
      </c>
      <c r="B827" t="s">
        <v>491</v>
      </c>
      <c r="C827" t="s">
        <v>2</v>
      </c>
      <c r="D827" s="2">
        <v>700000</v>
      </c>
    </row>
    <row r="828" spans="1:4" x14ac:dyDescent="0.25">
      <c r="A828" t="s">
        <v>56</v>
      </c>
      <c r="B828" t="s">
        <v>502</v>
      </c>
      <c r="C828" t="s">
        <v>2</v>
      </c>
      <c r="D828" s="2">
        <v>700000</v>
      </c>
    </row>
    <row r="829" spans="1:4" x14ac:dyDescent="0.25">
      <c r="A829" t="s">
        <v>53</v>
      </c>
      <c r="B829" t="s">
        <v>511</v>
      </c>
      <c r="C829" t="s">
        <v>2</v>
      </c>
      <c r="D829" s="2">
        <v>700000</v>
      </c>
    </row>
    <row r="830" spans="1:4" x14ac:dyDescent="0.25">
      <c r="A830" t="s">
        <v>53</v>
      </c>
      <c r="B830" t="s">
        <v>513</v>
      </c>
      <c r="C830" t="s">
        <v>2</v>
      </c>
      <c r="D830" s="2">
        <v>700000</v>
      </c>
    </row>
    <row r="831" spans="1:4" x14ac:dyDescent="0.25">
      <c r="A831" t="s">
        <v>58</v>
      </c>
      <c r="B831" t="s">
        <v>515</v>
      </c>
      <c r="C831" t="s">
        <v>2</v>
      </c>
      <c r="D831" s="2">
        <v>700000</v>
      </c>
    </row>
    <row r="832" spans="1:4" x14ac:dyDescent="0.25">
      <c r="A832" t="s">
        <v>39</v>
      </c>
      <c r="B832" t="s">
        <v>523</v>
      </c>
      <c r="C832" t="s">
        <v>2</v>
      </c>
      <c r="D832" s="2">
        <v>700000</v>
      </c>
    </row>
    <row r="833" spans="1:4" x14ac:dyDescent="0.25">
      <c r="A833" t="s">
        <v>25</v>
      </c>
      <c r="B833" t="s">
        <v>525</v>
      </c>
      <c r="C833" t="s">
        <v>2</v>
      </c>
      <c r="D833" s="2">
        <v>700000</v>
      </c>
    </row>
    <row r="834" spans="1:4" x14ac:dyDescent="0.25">
      <c r="A834" t="s">
        <v>44</v>
      </c>
      <c r="B834" t="s">
        <v>536</v>
      </c>
      <c r="C834" t="s">
        <v>2</v>
      </c>
      <c r="D834" s="2">
        <v>700000</v>
      </c>
    </row>
    <row r="835" spans="1:4" x14ac:dyDescent="0.25">
      <c r="A835" t="s">
        <v>44</v>
      </c>
      <c r="B835" t="s">
        <v>538</v>
      </c>
      <c r="C835" t="s">
        <v>2</v>
      </c>
      <c r="D835" s="2">
        <v>700000</v>
      </c>
    </row>
    <row r="836" spans="1:4" x14ac:dyDescent="0.25">
      <c r="A836" t="s">
        <v>43</v>
      </c>
      <c r="B836" t="s">
        <v>542</v>
      </c>
      <c r="C836" t="s">
        <v>2</v>
      </c>
      <c r="D836" s="2">
        <v>700000</v>
      </c>
    </row>
    <row r="837" spans="1:4" x14ac:dyDescent="0.25">
      <c r="A837" t="s">
        <v>43</v>
      </c>
      <c r="B837" t="s">
        <v>545</v>
      </c>
      <c r="C837" t="s">
        <v>2</v>
      </c>
      <c r="D837" s="2">
        <v>700000</v>
      </c>
    </row>
    <row r="838" spans="1:4" x14ac:dyDescent="0.25">
      <c r="A838" t="s">
        <v>43</v>
      </c>
      <c r="B838" t="s">
        <v>546</v>
      </c>
      <c r="C838" t="s">
        <v>2</v>
      </c>
      <c r="D838" s="2">
        <v>700000</v>
      </c>
    </row>
    <row r="839" spans="1:4" x14ac:dyDescent="0.25">
      <c r="A839" t="s">
        <v>43</v>
      </c>
      <c r="B839" t="s">
        <v>548</v>
      </c>
      <c r="C839" t="s">
        <v>2</v>
      </c>
      <c r="D839" s="2">
        <v>700000</v>
      </c>
    </row>
    <row r="840" spans="1:4" x14ac:dyDescent="0.25">
      <c r="A840" t="s">
        <v>41</v>
      </c>
      <c r="B840" t="s">
        <v>557</v>
      </c>
      <c r="C840" t="s">
        <v>2</v>
      </c>
      <c r="D840" s="2">
        <v>700000</v>
      </c>
    </row>
    <row r="841" spans="1:4" x14ac:dyDescent="0.25">
      <c r="A841" t="s">
        <v>35</v>
      </c>
      <c r="B841" t="s">
        <v>123</v>
      </c>
      <c r="C841" t="s">
        <v>2</v>
      </c>
      <c r="D841" s="2">
        <v>700000</v>
      </c>
    </row>
    <row r="842" spans="1:4" x14ac:dyDescent="0.25">
      <c r="A842" t="s">
        <v>35</v>
      </c>
      <c r="B842" t="s">
        <v>585</v>
      </c>
      <c r="C842" t="s">
        <v>2</v>
      </c>
      <c r="D842" s="2">
        <v>700000</v>
      </c>
    </row>
  </sheetData>
  <sortState xmlns:xlrd2="http://schemas.microsoft.com/office/spreadsheetml/2017/richdata2" ref="A2:D842">
    <sortCondition descending="1" ref="D1:D842"/>
  </sortState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19391-A958-484C-9E3B-5F6D8D5DE16E}">
  <dimension ref="A1:K18"/>
  <sheetViews>
    <sheetView topLeftCell="B1" workbookViewId="0">
      <selection activeCell="Q6" sqref="Q6"/>
    </sheetView>
  </sheetViews>
  <sheetFormatPr defaultRowHeight="15" x14ac:dyDescent="0.25"/>
  <cols>
    <col min="1" max="1" width="28.140625" bestFit="1" customWidth="1"/>
    <col min="2" max="2" width="33.42578125" customWidth="1"/>
    <col min="5" max="5" width="18.5703125" bestFit="1" customWidth="1"/>
    <col min="6" max="6" width="15.5703125" customWidth="1"/>
    <col min="7" max="7" width="14.28515625" bestFit="1" customWidth="1"/>
    <col min="8" max="8" width="15.28515625" bestFit="1" customWidth="1"/>
    <col min="9" max="9" width="10.7109375" customWidth="1"/>
    <col min="10" max="10" width="19.7109375" bestFit="1" customWidth="1"/>
  </cols>
  <sheetData>
    <row r="1" spans="1:11" x14ac:dyDescent="0.25">
      <c r="A1" s="4" t="s">
        <v>884</v>
      </c>
      <c r="B1" s="5"/>
      <c r="E1" s="4" t="s">
        <v>898</v>
      </c>
      <c r="F1" s="4" t="s">
        <v>902</v>
      </c>
      <c r="G1" s="4" t="s">
        <v>903</v>
      </c>
      <c r="H1" s="4" t="s">
        <v>904</v>
      </c>
      <c r="I1" s="4" t="s">
        <v>912</v>
      </c>
    </row>
    <row r="2" spans="1:11" x14ac:dyDescent="0.25">
      <c r="A2" s="5" t="s">
        <v>885</v>
      </c>
      <c r="B2" s="9">
        <f>AVERAGE('Data 2022'!D2:D842)</f>
        <v>3940578.7942925091</v>
      </c>
      <c r="E2" s="5" t="s">
        <v>899</v>
      </c>
      <c r="F2" s="8">
        <f>B2-B18</f>
        <v>-2437355.7117370716</v>
      </c>
      <c r="G2" s="8">
        <f>B2+B18</f>
        <v>10318513.300322089</v>
      </c>
      <c r="H2" s="5">
        <f>COUNTIFS('Data 2022'!D2:D842, "&gt;=" &amp;F2, 'Data 2022'!D2:D842, "&lt;="&amp; G2)</f>
        <v>750</v>
      </c>
      <c r="I2" s="7">
        <f>H2/H5</f>
        <v>0.89179548156956001</v>
      </c>
    </row>
    <row r="3" spans="1:11" x14ac:dyDescent="0.25">
      <c r="A3" s="5" t="s">
        <v>886</v>
      </c>
      <c r="B3" s="9">
        <f>MEDIAN('Data 2022'!D1:D842)</f>
        <v>723600</v>
      </c>
      <c r="E3" s="5" t="s">
        <v>900</v>
      </c>
      <c r="F3" s="8">
        <f>B2-(2*B18)</f>
        <v>-8815290.2177666519</v>
      </c>
      <c r="G3" s="8">
        <f>B2+(2*B18)</f>
        <v>16696447.806351671</v>
      </c>
      <c r="H3" s="5">
        <f>COUNTIFS('Data 2022'!D3:D843, "&gt;=" &amp;F3, 'Data 2022'!D3:D843, "&lt;="&amp; G3)</f>
        <v>790</v>
      </c>
      <c r="I3" s="7">
        <f>H3/H5</f>
        <v>0.93935790725326995</v>
      </c>
      <c r="J3" s="12" t="s">
        <v>911</v>
      </c>
      <c r="K3" s="6">
        <f>COUNT('Data 2022'!D2:D842)-Analysis!H4</f>
        <v>23</v>
      </c>
    </row>
    <row r="4" spans="1:11" x14ac:dyDescent="0.25">
      <c r="A4" s="5" t="s">
        <v>887</v>
      </c>
      <c r="B4" s="9">
        <f>MODE('Data 2022'!D2:D842)</f>
        <v>700000</v>
      </c>
      <c r="E4" s="5" t="s">
        <v>901</v>
      </c>
      <c r="F4" s="8">
        <f>B2-(3*B18)</f>
        <v>-15193224.723796234</v>
      </c>
      <c r="G4" s="8">
        <f>B2+(3*B18)</f>
        <v>23074382.312381253</v>
      </c>
      <c r="H4" s="5">
        <f>COUNTIFS('Data 2022'!D4:D844, "&gt;=" &amp;F4, 'Data 2022'!D4:D844, "&lt;="&amp; G4)</f>
        <v>818</v>
      </c>
      <c r="I4" s="7">
        <f>H4/H5</f>
        <v>0.97265160523186678</v>
      </c>
    </row>
    <row r="5" spans="1:11" x14ac:dyDescent="0.25">
      <c r="A5" s="5"/>
      <c r="B5" s="9"/>
      <c r="G5" s="4" t="s">
        <v>913</v>
      </c>
      <c r="H5">
        <f>COUNT('Data 2022'!D2:D842)</f>
        <v>841</v>
      </c>
    </row>
    <row r="6" spans="1:11" x14ac:dyDescent="0.25">
      <c r="B6" s="10"/>
    </row>
    <row r="7" spans="1:11" x14ac:dyDescent="0.25">
      <c r="A7" s="4" t="s">
        <v>888</v>
      </c>
      <c r="B7" s="9"/>
      <c r="E7" s="4" t="s">
        <v>905</v>
      </c>
      <c r="F7" s="5"/>
    </row>
    <row r="8" spans="1:11" x14ac:dyDescent="0.25">
      <c r="A8" s="5" t="s">
        <v>889</v>
      </c>
      <c r="B8" s="9">
        <f>MIN('Data 2022'!D2:D842)</f>
        <v>700000</v>
      </c>
      <c r="E8" s="5" t="s">
        <v>906</v>
      </c>
      <c r="F8" s="5">
        <f>SKEW('Data 2022'!D2:D842)</f>
        <v>2.8115185922582278</v>
      </c>
    </row>
    <row r="9" spans="1:11" x14ac:dyDescent="0.25">
      <c r="A9" s="5" t="s">
        <v>890</v>
      </c>
      <c r="B9" s="9">
        <f>MAX('Data 2022'!D2:D842)</f>
        <v>43333333</v>
      </c>
      <c r="E9" s="5" t="s">
        <v>907</v>
      </c>
      <c r="F9" s="5">
        <f>KURT('Data 2022'!D2:D842)</f>
        <v>8.6846261728041512</v>
      </c>
    </row>
    <row r="10" spans="1:11" x14ac:dyDescent="0.25">
      <c r="A10" s="5" t="s">
        <v>891</v>
      </c>
      <c r="B10" s="9">
        <f>QUARTILE('Data 2022'!D2:D842,1)</f>
        <v>700000</v>
      </c>
    </row>
    <row r="11" spans="1:11" x14ac:dyDescent="0.25">
      <c r="A11" s="5" t="s">
        <v>892</v>
      </c>
      <c r="B11" s="9">
        <f>QUARTILE('Data 2022'!D3:D843,3)</f>
        <v>4412500</v>
      </c>
    </row>
    <row r="12" spans="1:11" x14ac:dyDescent="0.25">
      <c r="A12" s="5" t="s">
        <v>893</v>
      </c>
      <c r="B12" s="9">
        <f>B11-B10</f>
        <v>3712500</v>
      </c>
    </row>
    <row r="13" spans="1:11" x14ac:dyDescent="0.25">
      <c r="B13" s="10"/>
    </row>
    <row r="14" spans="1:11" x14ac:dyDescent="0.25">
      <c r="B14" s="10"/>
    </row>
    <row r="15" spans="1:11" x14ac:dyDescent="0.25">
      <c r="A15" s="4" t="s">
        <v>894</v>
      </c>
      <c r="B15" s="9"/>
      <c r="E15" s="4" t="s">
        <v>908</v>
      </c>
    </row>
    <row r="16" spans="1:11" x14ac:dyDescent="0.25">
      <c r="A16" s="5" t="s">
        <v>895</v>
      </c>
      <c r="B16" s="9">
        <f>B9-B8</f>
        <v>42633333</v>
      </c>
      <c r="E16" s="5" t="s">
        <v>909</v>
      </c>
    </row>
    <row r="17" spans="1:5" x14ac:dyDescent="0.25">
      <c r="A17" s="5" t="s">
        <v>896</v>
      </c>
      <c r="B17" s="11">
        <f>_xlfn.VAR.S('Data 2022'!D2:D842)</f>
        <v>40678048563202.789</v>
      </c>
      <c r="E17" s="5" t="s">
        <v>910</v>
      </c>
    </row>
    <row r="18" spans="1:5" x14ac:dyDescent="0.25">
      <c r="A18" s="5" t="s">
        <v>897</v>
      </c>
      <c r="B18" s="11">
        <f>STDEV('Data 2022'!D2:D842)</f>
        <v>6377934.5060295807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0FA1E8C-D7D2-460F-B0C8-362316ED177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Source</vt:lpstr>
      <vt:lpstr>Data 2022</vt:lpstr>
      <vt:lpstr>Analysis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Albright</dc:creator>
  <cp:lastModifiedBy>Mohammed Ahmed</cp:lastModifiedBy>
  <dcterms:created xsi:type="dcterms:W3CDTF">2012-01-29T15:01:36Z</dcterms:created>
  <dcterms:modified xsi:type="dcterms:W3CDTF">2025-10-01T18:35:41Z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0944723-1415-41c4-a2ea-256349a9fff8_Enabled">
    <vt:lpwstr>true</vt:lpwstr>
  </property>
  <property fmtid="{D5CDD505-2E9C-101B-9397-08002B2CF9AE}" pid="3" name="MSIP_Label_70944723-1415-41c4-a2ea-256349a9fff8_SetDate">
    <vt:lpwstr>2025-09-28T11:02:43Z</vt:lpwstr>
  </property>
  <property fmtid="{D5CDD505-2E9C-101B-9397-08002B2CF9AE}" pid="4" name="MSIP_Label_70944723-1415-41c4-a2ea-256349a9fff8_Method">
    <vt:lpwstr>Standard</vt:lpwstr>
  </property>
  <property fmtid="{D5CDD505-2E9C-101B-9397-08002B2CF9AE}" pid="5" name="MSIP_Label_70944723-1415-41c4-a2ea-256349a9fff8_Name">
    <vt:lpwstr>defa4170-0d19-0005-0004-bc88714345d2</vt:lpwstr>
  </property>
  <property fmtid="{D5CDD505-2E9C-101B-9397-08002B2CF9AE}" pid="6" name="MSIP_Label_70944723-1415-41c4-a2ea-256349a9fff8_SiteId">
    <vt:lpwstr>70e9ed8e-04d0-480b-a3f1-5925a4dc1002</vt:lpwstr>
  </property>
  <property fmtid="{D5CDD505-2E9C-101B-9397-08002B2CF9AE}" pid="7" name="MSIP_Label_70944723-1415-41c4-a2ea-256349a9fff8_ActionId">
    <vt:lpwstr>5ca24946-9cc2-4e67-ac2e-144473fbf741</vt:lpwstr>
  </property>
  <property fmtid="{D5CDD505-2E9C-101B-9397-08002B2CF9AE}" pid="8" name="MSIP_Label_70944723-1415-41c4-a2ea-256349a9fff8_ContentBits">
    <vt:lpwstr>0</vt:lpwstr>
  </property>
  <property fmtid="{D5CDD505-2E9C-101B-9397-08002B2CF9AE}" pid="9" name="MSIP_Label_70944723-1415-41c4-a2ea-256349a9fff8_Tag">
    <vt:lpwstr>10, 3, 0, 1</vt:lpwstr>
  </property>
</Properties>
</file>